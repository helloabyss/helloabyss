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shboard" sheetId="2" state="visible" r:id="rId4"/>
    <sheet name="Assumptions" sheetId="3" state="visible" r:id="rId5"/>
    <sheet name="Lists" sheetId="4" state="hidden" r:id="rId6"/>
    <sheet name="Fleet" sheetId="5" state="visible" r:id="rId7"/>
    <sheet name="Trips" sheetId="6" state="visible" r:id="rId8"/>
    <sheet name="Expenses" sheetId="7" state="visible" r:id="rId9"/>
    <sheet name="Car Scorecard" sheetId="8" state="visible" r:id="rId10"/>
    <sheet name="Buy Bo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US earnings plans pay 70%, 80% or 90% of trip price (Turo help centre, Jan 2026). Some cities use a variable share from 31 Mar 2026 — enter your actual average.</t>
        </r>
      </text>
    </comment>
  </commentList>
</comments>
</file>

<file path=xl/sharedStrings.xml><?xml version="1.0" encoding="utf-8"?>
<sst xmlns="http://schemas.openxmlformats.org/spreadsheetml/2006/main" count="206" uniqueCount="172">
  <si>
    <t xml:space="preserve">Turo Fleet Tracker — path to $300k/yr net</t>
  </si>
  <si>
    <t xml:space="preserve">Educational tool only. Not financial, tax or legal advice. Verify insurance, tax and permits locally.</t>
  </si>
  <si>
    <t xml:space="preserve">Step 1</t>
  </si>
  <si>
    <t xml:space="preserve">Assumptions tab: set your goal, start month and targets (yellow cells).</t>
  </si>
  <si>
    <t xml:space="preserve">Step 2</t>
  </si>
  <si>
    <t xml:space="preserve">Fleet tab: one row per car. Fixed monthly costs (loan, insurance, registration, tracker, parking) go here — NOT in Expenses.</t>
  </si>
  <si>
    <t xml:space="preserve">Step 3</t>
  </si>
  <si>
    <t xml:space="preserve">Trips tab: log every trip from your Turo earnings export. Days, host share, earnings and month fill in automatically.</t>
  </si>
  <si>
    <t xml:space="preserve">Step 4</t>
  </si>
  <si>
    <t xml:space="preserve">Expenses tab: log variable costs (maintenance, tires, repairs, supplies, software). Use Car ID 'FLEET' for overhead.</t>
  </si>
  <si>
    <t xml:space="preserve">Step 5</t>
  </si>
  <si>
    <t xml:space="preserve">Each month: move the Report month on Assumptions forward, then check Car Scorecard and see each car's net, utilization and payback. Cut any car flagged '3 losing months'.</t>
  </si>
  <si>
    <t xml:space="preserve">Step 6</t>
  </si>
  <si>
    <t xml:space="preserve">Dashboard: 12-month P&amp;L, run-rate and how many cars you need at today's net per car.</t>
  </si>
  <si>
    <t xml:space="preserve">Step 7</t>
  </si>
  <si>
    <t xml:space="preserve">Buy Box: test a car before you buy it. Only buy 'BUY' verdicts.</t>
  </si>
  <si>
    <t xml:space="preserve">Colour legend</t>
  </si>
  <si>
    <t xml:space="preserve">Blue text, pale yellow fill</t>
  </si>
  <si>
    <t xml:space="preserve">Inputs you type in.</t>
  </si>
  <si>
    <t xml:space="preserve">Bright yellow fill</t>
  </si>
  <si>
    <t xml:space="preserve">Key assumptions that drive the whole workbook.</t>
  </si>
  <si>
    <t xml:space="preserve">Black text</t>
  </si>
  <si>
    <t xml:space="preserve">Formulas — do not overwrite.</t>
  </si>
  <si>
    <t xml:space="preserve">Green text</t>
  </si>
  <si>
    <t xml:space="preserve">Pulled from another tab.</t>
  </si>
  <si>
    <t xml:space="preserve">Example rows</t>
  </si>
  <si>
    <t xml:space="preserve">Rows whose Notes say 'EXAMPLE – delete' show the expected format. Clear them before you start.</t>
  </si>
  <si>
    <t xml:space="preserve">Trip timing</t>
  </si>
  <si>
    <t xml:space="preserve">Trips are counted in the month they START. A trip spanning month-end counts fully in the start month.</t>
  </si>
  <si>
    <t xml:space="preserve">Host share</t>
  </si>
  <si>
    <t xml:space="preserve">Trips use the car's earnings-plan share from Fleet; if blank, the default on Assumptions. US plans pay 70/80/90% of trip price (Turo help centre, Jan 2026) — re-check, Turo changes terms.</t>
  </si>
  <si>
    <t xml:space="preserve">Not modelled</t>
  </si>
  <si>
    <t xml:space="preserve">Depreciation / resale value, income tax, owner's time. Track resale value separately when you sell a car.</t>
  </si>
  <si>
    <t xml:space="preserve">Dashboard — 12-month P&amp;L</t>
  </si>
  <si>
    <t xml:space="preserve">All figures are formulas. Trips count in the month they start.</t>
  </si>
  <si>
    <t xml:space="preserve">Annual goal</t>
  </si>
  <si>
    <t xml:space="preserve">Net profit (12 mo)</t>
  </si>
  <si>
    <t xml:space="preserve">% of goal</t>
  </si>
  <si>
    <t xml:space="preserve">Report-month run-rate</t>
  </si>
  <si>
    <t xml:space="preserve">Cars owned (that month)</t>
  </si>
  <si>
    <t xml:space="preserve">Cars needed at that net/car</t>
  </si>
  <si>
    <t xml:space="preserve">Cash reserve to hold</t>
  </si>
  <si>
    <t xml:space="preserve">Rows show months up to the Report month (Assumptions tab). Tiles use the Report month. Cars bought mid-month carry a full month of fixed cost.</t>
  </si>
  <si>
    <t xml:space="preserve">Month</t>
  </si>
  <si>
    <t xml:space="preserve">Cars owned</t>
  </si>
  <si>
    <t xml:space="preserve">Available car-days</t>
  </si>
  <si>
    <t xml:space="preserve">Booked days</t>
  </si>
  <si>
    <t xml:space="preserve">Utilization</t>
  </si>
  <si>
    <t xml:space="preserve">Trips</t>
  </si>
  <si>
    <t xml:space="preserve">Gross trip price ($)</t>
  </si>
  <si>
    <t xml:space="preserve">Earnings + extras ($)</t>
  </si>
  <si>
    <t xml:space="preserve">Variable costs ($)</t>
  </si>
  <si>
    <t xml:space="preserve">Fixed costs ($)</t>
  </si>
  <si>
    <t xml:space="preserve">Net profit ($)</t>
  </si>
  <si>
    <t xml:space="preserve">Net per car ($)</t>
  </si>
  <si>
    <t xml:space="preserve">Annualized run-rate ($)</t>
  </si>
  <si>
    <t xml:space="preserve">Cars needed for goal
(at this net/car)</t>
  </si>
  <si>
    <t xml:space="preserve">12-mo total</t>
  </si>
  <si>
    <t xml:space="preserve">Assumptions &amp; targets</t>
  </si>
  <si>
    <t xml:space="preserve">Change the yellow cells. Everything else recalculates.</t>
  </si>
  <si>
    <t xml:space="preserve">Annual net profit goal ($)</t>
  </si>
  <si>
    <t xml:space="preserve">Your target (from the plan).</t>
  </si>
  <si>
    <t xml:space="preserve">Tracker start month</t>
  </si>
  <si>
    <t xml:space="preserve">First month on the Dashboard. Use the 1st of a month.</t>
  </si>
  <si>
    <t xml:space="preserve">Report month (latest closed month)</t>
  </si>
  <si>
    <t xml:space="preserve">Car Scorecard reports on this month; Dashboard shows months up to it. Move it forward each month. Use the 1st of a month.</t>
  </si>
  <si>
    <t xml:space="preserve">Default host share</t>
  </si>
  <si>
    <t xml:space="preserve">Used when a car's plan is blank. US plans: 70% / 80% / 90% (Turo help centre, earnings plans, Jan 2026).</t>
  </si>
  <si>
    <t xml:space="preserve">Target utilization</t>
  </si>
  <si>
    <t xml:space="preserve">≈18 booked days a month. Turo's published US average is ~15 days/month (turo.com/list-your-car).</t>
  </si>
  <si>
    <t xml:space="preserve">Target net per car per month ($)</t>
  </si>
  <si>
    <t xml:space="preserve">Stage-1 gate from the plan. ~$500 is the well-run-fleet benchmark needed for $300k at ~50 cars.</t>
  </si>
  <si>
    <t xml:space="preserve">Max payback (months)</t>
  </si>
  <si>
    <t xml:space="preserve">Buy Box rule: car must repay its price from operating cash flow within this many months.</t>
  </si>
  <si>
    <t xml:space="preserve">Cash reserve per car (months of costs)</t>
  </si>
  <si>
    <t xml:space="preserve">Keep this many months of each car's fixed + variable cost in the bank.</t>
  </si>
  <si>
    <t xml:space="preserve">Expense categories</t>
  </si>
  <si>
    <t xml:space="preserve">Car IDs + FLEET</t>
  </si>
  <si>
    <t xml:space="preserve">Maintenance</t>
  </si>
  <si>
    <t xml:space="preserve">FLEET</t>
  </si>
  <si>
    <t xml:space="preserve">Tires</t>
  </si>
  <si>
    <t xml:space="preserve">Repairs / damage</t>
  </si>
  <si>
    <t xml:space="preserve">Cleaning supplies</t>
  </si>
  <si>
    <t xml:space="preserve">Detailing</t>
  </si>
  <si>
    <t xml:space="preserve">Tolls / parking</t>
  </si>
  <si>
    <t xml:space="preserve">Fuel / charging</t>
  </si>
  <si>
    <t xml:space="preserve">Software / subscriptions</t>
  </si>
  <si>
    <t xml:space="preserve">Marketing</t>
  </si>
  <si>
    <t xml:space="preserve">Labor / contractor</t>
  </si>
  <si>
    <t xml:space="preserve">Delivery</t>
  </si>
  <si>
    <t xml:space="preserve">Other</t>
  </si>
  <si>
    <t xml:space="preserve">Fleet register</t>
  </si>
  <si>
    <t xml:space="preserve">One row per car. Fixed monthly costs live here. Leave Sold date blank while you own the car.</t>
  </si>
  <si>
    <t xml:space="preserve">Car ID</t>
  </si>
  <si>
    <t xml:space="preserve">Year</t>
  </si>
  <si>
    <t xml:space="preserve">Make / model</t>
  </si>
  <si>
    <t xml:space="preserve">Status</t>
  </si>
  <si>
    <t xml:space="preserve">Purchase date</t>
  </si>
  <si>
    <t xml:space="preserve">Sold date</t>
  </si>
  <si>
    <t xml:space="preserve">Purchase price ($)</t>
  </si>
  <si>
    <t xml:space="preserve">Cash invested ($)
(down pmt, or full price if cash)</t>
  </si>
  <si>
    <t xml:space="preserve">Loan payment ($/mo)</t>
  </si>
  <si>
    <t xml:space="preserve">Insurance ($/mo)</t>
  </si>
  <si>
    <t xml:space="preserve">Registration ($/yr)</t>
  </si>
  <si>
    <t xml:space="preserve">Tracker &amp; software ($/mo)</t>
  </si>
  <si>
    <t xml:space="preserve">Parking ($/mo)</t>
  </si>
  <si>
    <t xml:space="preserve">Earnings plan host share</t>
  </si>
  <si>
    <t xml:space="preserve">Fixed cost ($/mo)</t>
  </si>
  <si>
    <t xml:space="preserve">Notes</t>
  </si>
  <si>
    <t xml:space="preserve">CAR-01</t>
  </si>
  <si>
    <t xml:space="preserve">Toyota Corolla LE</t>
  </si>
  <si>
    <t xml:space="preserve">Active</t>
  </si>
  <si>
    <t xml:space="preserve">EXAMPLE – delete</t>
  </si>
  <si>
    <t xml:space="preserve">CAR-02</t>
  </si>
  <si>
    <t xml:space="preserve">Toyota RAV4 Hybrid</t>
  </si>
  <si>
    <t xml:space="preserve">Trip log</t>
  </si>
  <si>
    <t xml:space="preserve">Copy from your Turo earnings export. Trip price = price before Turo's cut. Grey columns are formulas.</t>
  </si>
  <si>
    <t xml:space="preserve">Trip ID</t>
  </si>
  <si>
    <t xml:space="preserve">Start date</t>
  </si>
  <si>
    <t xml:space="preserve">End date</t>
  </si>
  <si>
    <t xml:space="preserve">Days</t>
  </si>
  <si>
    <t xml:space="preserve">Trip price ($)</t>
  </si>
  <si>
    <t xml:space="preserve">Host earnings ($)</t>
  </si>
  <si>
    <t xml:space="preserve">Reimbursements &amp; extras ($)
(tolls, fuel, delivery)</t>
  </si>
  <si>
    <t xml:space="preserve">Turnover cost ($)
(clean, fuel, labor)</t>
  </si>
  <si>
    <t xml:space="preserve">Guest rating (1–5)</t>
  </si>
  <si>
    <t xml:space="preserve">Net trip ($)</t>
  </si>
  <si>
    <t xml:space="preserve">T-1001</t>
  </si>
  <si>
    <t xml:space="preserve">T-1002</t>
  </si>
  <si>
    <t xml:space="preserve">T-1003</t>
  </si>
  <si>
    <t xml:space="preserve">T-1004</t>
  </si>
  <si>
    <t xml:space="preserve">Variable expenses</t>
  </si>
  <si>
    <t xml:space="preserve">Do NOT log loan, insurance, registration, tracker or parking here — those are fixed costs on the Fleet tab.</t>
  </si>
  <si>
    <t xml:space="preserve">Date</t>
  </si>
  <si>
    <t xml:space="preserve">Car ID
(or FLEET)</t>
  </si>
  <si>
    <t xml:space="preserve">Category</t>
  </si>
  <si>
    <t xml:space="preserve">Vendor</t>
  </si>
  <si>
    <t xml:space="preserve">Amount ($)</t>
  </si>
  <si>
    <t xml:space="preserve">Costco</t>
  </si>
  <si>
    <t xml:space="preserve">Quick Lube</t>
  </si>
  <si>
    <t xml:space="preserve">Pricing tool</t>
  </si>
  <si>
    <t xml:space="preserve">Car scorecard</t>
  </si>
  <si>
    <t xml:space="preserve">Reports on the Report month set on the Assumptions tab.</t>
  </si>
  <si>
    <t xml:space="preserve">Month:</t>
  </si>
  <si>
    <t xml:space="preserve">Owned this month</t>
  </si>
  <si>
    <t xml:space="preserve">Fixed cost ($)</t>
  </si>
  <si>
    <t xml:space="preserve">Net this month ($)</t>
  </si>
  <si>
    <t xml:space="preserve">Net last month ($)</t>
  </si>
  <si>
    <t xml:space="preserve">Net 2 months ago ($)</t>
  </si>
  <si>
    <t xml:space="preserve">Lifetime net ($)</t>
  </si>
  <si>
    <t xml:space="preserve">Cash invested ($)</t>
  </si>
  <si>
    <t xml:space="preserve">Payback progress</t>
  </si>
  <si>
    <t xml:space="preserve">Flag</t>
  </si>
  <si>
    <t xml:space="preserve">Buy Box — test a car before you buy it</t>
  </si>
  <si>
    <t xml:space="preserve">Fill a row per candidate with numbers from comparable Turo listings in your city. BUY = pays back fast enough AND clears the net target after the loan.</t>
  </si>
  <si>
    <t xml:space="preserve">Candidate</t>
  </si>
  <si>
    <t xml:space="preserve">Price ($)</t>
  </si>
  <si>
    <t xml:space="preserve">Expected daily price ($)</t>
  </si>
  <si>
    <t xml:space="preserve">Expected booked days / mo</t>
  </si>
  <si>
    <t xml:space="preserve">Avg trip length (days)</t>
  </si>
  <si>
    <t xml:space="preserve">Turnover cost ($/trip)</t>
  </si>
  <si>
    <t xml:space="preserve">Maintenance ($/mo)</t>
  </si>
  <si>
    <t xml:space="preserve">Insurance + reg + tracker ($/mo)</t>
  </si>
  <si>
    <t xml:space="preserve">Host earnings ($/mo)</t>
  </si>
  <si>
    <t xml:space="preserve">Turnover costs ($/mo)</t>
  </si>
  <si>
    <t xml:space="preserve">Operating cash flow ($/mo, before loan)</t>
  </si>
  <si>
    <t xml:space="preserve">Net after loan ($/mo)</t>
  </si>
  <si>
    <t xml:space="preserve">Payback (months)</t>
  </si>
  <si>
    <t xml:space="preserve">Verdict</t>
  </si>
  <si>
    <t xml:space="preserve">2022 Toyota Corolla (EXAMPLE)</t>
  </si>
  <si>
    <t xml:space="preserve">2021 Toyota RAV4 Hybrid (EXAMPLE)</t>
  </si>
  <si>
    <t xml:space="preserve">Payback = price ÷ operating cash flow. Ignores resale value (upside) and depreciation (downside). Rules come from the Assumptions tab.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</si>
</sst>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#,##0.0;\(#,##0.0\);\-"/>
    <numFmt numFmtId="169" formatCode="mmm\ yyyy"/>
    <numFmt numFmtId="170" formatCode="\$#,##0"/>
    <numFmt numFmtId="171" formatCode="0"/>
    <numFmt numFmtId="172" formatCode="yyyy\-mm\-dd"/>
    <numFmt numFmtId="173" formatCode="0.0"/>
    <numFmt numFmtId="174" formatCode="\$#,##0.00;&quot;($&quot;#,##0.0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FFE5E7EB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color rgb="FFB91C1C"/>
      </font>
    </dxf>
    <dxf>
      <font>
        <name val="Arial"/>
        <charset val="1"/>
        <family val="0"/>
        <b val="1"/>
        <color rgb="FFFFFFFF"/>
      </font>
      <fill>
        <patternFill>
          <bgColor rgb="FFB91C1C"/>
        </patternFill>
      </fill>
    </dxf>
    <dxf>
      <font>
        <name val="Arial"/>
        <charset val="1"/>
        <family val="0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B91C1C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534"/>
      <rgbColor rgb="FFBBBBBB"/>
      <rgbColor rgb="FF878787"/>
      <rgbColor rgb="FF9999FF"/>
      <rgbColor rgb="FFB91C1C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2CC"/>
      <rgbColor rgb="FF99CCFF"/>
      <rgbColor rgb="FFFF99CC"/>
      <rgbColor rgb="FFCC99FF"/>
      <rgbColor rgb="FFFEE2E2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Dashboard!K9</c:f>
              <c:strCache>
                <c:ptCount val="1"/>
                <c:pt idx="0">
                  <c:v>Net profit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</c:strCache>
            </c:strRef>
          </c:cat>
          <c:val>
            <c:numRef>
              <c:f>Dashboard!$K$10:$K$21</c:f>
              <c:numCache>
                <c:formatCode>\$#,##0;"($"#,##0\);\-</c:formatCode>
                <c:ptCount val="12"/>
                <c:pt idx="0">
                  <c:v>-293.2</c:v>
                </c:pt>
              </c:numCache>
            </c:numRef>
          </c:val>
        </c:ser>
        <c:gapWidth val="150"/>
        <c:overlap val="0"/>
        <c:axId val="69964355"/>
        <c:axId val="36174269"/>
      </c:barChart>
      <c:catAx>
        <c:axId val="69964355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74269"/>
        <c:crosses val="autoZero"/>
        <c:auto val="1"/>
        <c:lblAlgn val="ctr"/>
        <c:lblOffset val="100"/>
        <c:noMultiLvlLbl val="0"/>
      </c:catAx>
      <c:valAx>
        <c:axId val="36174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64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101160</xdr:rowOff>
    </xdr:from>
    <xdr:to>
      <xdr:col>10</xdr:col>
      <xdr:colOff>236880</xdr:colOff>
      <xdr:row>36</xdr:row>
      <xdr:rowOff>133560</xdr:rowOff>
    </xdr:to>
    <xdr:graphicFrame>
      <xdr:nvGraphicFramePr>
        <xdr:cNvPr id="0" name="Chart 1"/>
        <xdr:cNvGraphicFramePr/>
      </xdr:nvGraphicFramePr>
      <xdr:xfrm>
        <a:off x="0" y="459108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26.85" hidden="false" customHeight="false" outlineLevel="0" collapsed="false">
      <c r="A5" s="4" t="s">
        <v>4</v>
      </c>
      <c r="B5" s="5" t="s">
        <v>5</v>
      </c>
    </row>
    <row r="6" customFormat="false" ht="26.85" hidden="false" customHeight="false" outlineLevel="0" collapsed="false">
      <c r="A6" s="4" t="s">
        <v>6</v>
      </c>
      <c r="B6" s="5" t="s">
        <v>7</v>
      </c>
    </row>
    <row r="7" customFormat="false" ht="26.85" hidden="false" customHeight="false" outlineLevel="0" collapsed="false">
      <c r="A7" s="4" t="s">
        <v>8</v>
      </c>
      <c r="B7" s="5" t="s">
        <v>9</v>
      </c>
    </row>
    <row r="8" customFormat="false" ht="26.8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/>
      <c r="B11" s="5"/>
    </row>
    <row r="12" customFormat="false" ht="15" hidden="false" customHeight="false" outlineLevel="0" collapsed="false">
      <c r="A12" s="4" t="s">
        <v>16</v>
      </c>
      <c r="B12" s="5"/>
    </row>
    <row r="13" customFormat="false" ht="15" hidden="false" customHeight="false" outlineLevel="0" collapsed="false">
      <c r="A13" s="6" t="s">
        <v>17</v>
      </c>
      <c r="B13" s="5" t="s">
        <v>18</v>
      </c>
    </row>
    <row r="14" customFormat="false" ht="15" hidden="false" customHeight="false" outlineLevel="0" collapsed="false">
      <c r="A14" s="7" t="s">
        <v>19</v>
      </c>
      <c r="B14" s="5" t="s">
        <v>20</v>
      </c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15" hidden="false" customHeight="false" outlineLevel="0" collapsed="false">
      <c r="A16" s="8" t="s">
        <v>23</v>
      </c>
      <c r="B16" s="5" t="s">
        <v>24</v>
      </c>
    </row>
    <row r="17" customFormat="false" ht="15" hidden="false" customHeight="false" outlineLevel="0" collapsed="false">
      <c r="A17" s="4"/>
      <c r="B17" s="5"/>
    </row>
    <row r="18" customFormat="false" ht="15" hidden="false" customHeight="false" outlineLevel="0" collapsed="false">
      <c r="A18" s="4" t="s">
        <v>25</v>
      </c>
      <c r="B18" s="5" t="s">
        <v>26</v>
      </c>
    </row>
    <row r="19" customFormat="false" ht="15" hidden="false" customHeight="false" outlineLevel="0" collapsed="false">
      <c r="A19" s="4" t="s">
        <v>27</v>
      </c>
      <c r="B19" s="5" t="s">
        <v>28</v>
      </c>
    </row>
    <row r="20" customFormat="false" ht="26.85" hidden="false" customHeight="false" outlineLevel="0" collapsed="false">
      <c r="A20" s="4" t="s">
        <v>29</v>
      </c>
      <c r="B20" s="5" t="s">
        <v>30</v>
      </c>
    </row>
    <row r="21" customFormat="false" ht="26.85" hidden="false" customHeight="false" outlineLevel="0" collapsed="false">
      <c r="A21" s="4" t="s">
        <v>31</v>
      </c>
      <c r="B21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35</v>
      </c>
      <c r="B4" s="2"/>
      <c r="C4" s="3" t="s">
        <v>36</v>
      </c>
      <c r="D4" s="2"/>
      <c r="E4" s="3" t="s">
        <v>37</v>
      </c>
      <c r="F4" s="2"/>
      <c r="G4" s="3" t="s">
        <v>38</v>
      </c>
      <c r="H4" s="2"/>
      <c r="I4" s="3" t="s">
        <v>39</v>
      </c>
      <c r="J4" s="2"/>
      <c r="K4" s="3" t="s">
        <v>40</v>
      </c>
      <c r="L4" s="2"/>
      <c r="M4" s="3" t="s">
        <v>41</v>
      </c>
      <c r="N4" s="2"/>
    </row>
    <row r="5" customFormat="false" ht="19.7" hidden="false" customHeight="false" outlineLevel="0" collapsed="false">
      <c r="A5" s="9" t="n">
        <f aca="false">Assumptions!$B$4</f>
        <v>300000</v>
      </c>
      <c r="B5" s="2"/>
      <c r="C5" s="9" t="n">
        <f aca="false">K22</f>
        <v>-293.2</v>
      </c>
      <c r="D5" s="2"/>
      <c r="E5" s="10" t="n">
        <f aca="false">IF(Assumptions!$B$4=0,0,K22/Assumptions!$B$4)</f>
        <v>-0.000977333333333333</v>
      </c>
      <c r="F5" s="2"/>
      <c r="G5" s="9" t="n">
        <f aca="false">IFERROR(INDEX(M10:M21,MATCH(Assumptions!$B$6,A10:A21,0)),0)</f>
        <v>-3518.4</v>
      </c>
      <c r="H5" s="2"/>
      <c r="I5" s="11" t="n">
        <f aca="false">IFERROR(INDEX(B10:B21,MATCH(Assumptions!$B$6,A10:A21,0)),0)</f>
        <v>2</v>
      </c>
      <c r="J5" s="2"/>
      <c r="K5" s="12" t="str">
        <f aca="false">IFERROR(INDEX(N10:N21,MATCH(Assumptions!$B$6,A10:A21,0)),"n/a")</f>
        <v>n/a</v>
      </c>
      <c r="L5" s="2"/>
      <c r="M5" s="9" t="n">
        <f aca="false">IFERROR(INDEX(B10:B21,MATCH(Assumptions!$B$6,A10:A21,0))*Assumptions!$B$11*(INDEX(I10:I21,MATCH(Assumptions!$B$6,A10:A21,0))+INDEX(J10:J21,MATCH(Assumptions!$B$6,A10:A21,0)))/MAX(1,INDEX(B10:B21,MATCH(Assumptions!$B$6,A10:A21,0))),0)</f>
        <v>2576</v>
      </c>
      <c r="N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3" t="s">
        <v>42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31.5" hidden="false" customHeight="true" outlineLevel="0" collapsed="false">
      <c r="A9" s="13" t="s">
        <v>43</v>
      </c>
      <c r="B9" s="13" t="s">
        <v>44</v>
      </c>
      <c r="C9" s="13" t="s">
        <v>45</v>
      </c>
      <c r="D9" s="13" t="s">
        <v>46</v>
      </c>
      <c r="E9" s="13" t="s">
        <v>47</v>
      </c>
      <c r="F9" s="13" t="s">
        <v>48</v>
      </c>
      <c r="G9" s="13" t="s">
        <v>49</v>
      </c>
      <c r="H9" s="13" t="s">
        <v>50</v>
      </c>
      <c r="I9" s="13" t="s">
        <v>51</v>
      </c>
      <c r="J9" s="13" t="s">
        <v>52</v>
      </c>
      <c r="K9" s="13" t="s">
        <v>53</v>
      </c>
      <c r="L9" s="13" t="s">
        <v>54</v>
      </c>
      <c r="M9" s="13" t="s">
        <v>55</v>
      </c>
      <c r="N9" s="13" t="s">
        <v>56</v>
      </c>
    </row>
    <row r="10" customFormat="false" ht="15" hidden="false" customHeight="false" outlineLevel="0" collapsed="false">
      <c r="A10" s="14" t="n">
        <f aca="false">Assumptions!$B$5</f>
        <v>46327</v>
      </c>
      <c r="B10" s="15" t="n">
        <f aca="false">IF($A10&gt;Assumptions!$B$6,"",SUMPRODUCT(((Fleet!$A$5:$A$79&lt;&gt;"")*(Fleet!$E$5:$E$79&lt;=EOMONTH($A10,0))*(((Fleet!$F$5:$F$79="")+(Fleet!$F$5:$F$79&gt;=$A10))&gt;0))))</f>
        <v>2</v>
      </c>
      <c r="C10" s="15" t="n">
        <f aca="false">IF($A10&gt;Assumptions!$B$6,"",B10*DAY(EOMONTH($A10,0)))</f>
        <v>60</v>
      </c>
      <c r="D10" s="15" t="n">
        <f aca="false">IF($A10&gt;Assumptions!$B$6,"",SUMIFS(Trips!$E$5:$E$1004,Trips!$L$5:$L$1004,$A10))</f>
        <v>19</v>
      </c>
      <c r="E10" s="16" t="n">
        <f aca="false">IF($A10&gt;Assumptions!$B$6,"",IF(C10=0,0,D10/C10))</f>
        <v>0.316666666666667</v>
      </c>
      <c r="F10" s="15" t="n">
        <f aca="false">IF($A10&gt;Assumptions!$B$6,"",COUNTIFS(Trips!$L$5:$L$1004,$A10))</f>
        <v>4</v>
      </c>
      <c r="G10" s="17" t="n">
        <f aca="false">IF($A10&gt;Assumptions!$B$6,"",SUMIFS(Trips!$F$5:$F$1004,Trips!$L$5:$L$1004,$A10))</f>
        <v>1206</v>
      </c>
      <c r="H10" s="17" t="n">
        <f aca="false">IF($A10&gt;Assumptions!$B$6,"",SUMIFS(Trips!$H$5:$H$1004,Trips!$L$5:$L$1004,$A10)+SUMIFS(Trips!$I$5:$I$1004,Trips!$L$5:$L$1004,$A10))</f>
        <v>994.8</v>
      </c>
      <c r="I10" s="17" t="n">
        <f aca="false">IF($A10&gt;Assumptions!$B$6,"",SUMIFS(Trips!$J$5:$J$1004,Trips!$L$5:$L$1004,$A10)+SUMIFS(Expenses!$E$5:$E$1004,Expenses!$G$5:$G$1004,$A10))</f>
        <v>323</v>
      </c>
      <c r="J10" s="17" t="n">
        <f aca="false">IF($A10&gt;Assumptions!$B$6,"",SUMPRODUCT(((Fleet!$A$5:$A$79&lt;&gt;"")*(Fleet!$E$5:$E$79&lt;=EOMONTH($A10,0))*(((Fleet!$F$5:$F$79="")+(Fleet!$F$5:$F$79&gt;=$A10))&gt;0))*Fleet!$O$5:$O$79))</f>
        <v>965</v>
      </c>
      <c r="K10" s="17" t="n">
        <f aca="false">IF($A10&gt;Assumptions!$B$6,"",H10-I10-J10)</f>
        <v>-293.2</v>
      </c>
      <c r="L10" s="17" t="n">
        <f aca="false">IF($A10&gt;Assumptions!$B$6,"",IF(B10=0,0,K10/B10))</f>
        <v>-146.6</v>
      </c>
      <c r="M10" s="17" t="n">
        <f aca="false">IF($A10&gt;Assumptions!$B$6,"",K10*12)</f>
        <v>-3518.4</v>
      </c>
      <c r="N10" s="18" t="str">
        <f aca="false">IF($A10&gt;Assumptions!$B$6,"",IF(L10&lt;=0,"n/a",Assumptions!$B$4/12/L10))</f>
        <v>n/a</v>
      </c>
    </row>
    <row r="11" customFormat="false" ht="15" hidden="false" customHeight="false" outlineLevel="0" collapsed="false">
      <c r="A11" s="19" t="n">
        <f aca="false">EDATE(A10,1)</f>
        <v>46357</v>
      </c>
      <c r="B11" s="15" t="str">
        <f aca="false">IF($A11&gt;Assumptions!$B$6,"",SUMPRODUCT(((Fleet!$A$5:$A$79&lt;&gt;"")*(Fleet!$E$5:$E$79&lt;=EOMONTH($A11,0))*(((Fleet!$F$5:$F$79="")+(Fleet!$F$5:$F$79&gt;=$A11))&gt;0))))</f>
        <v/>
      </c>
      <c r="C11" s="15" t="str">
        <f aca="false">IF($A11&gt;Assumptions!$B$6,"",B11*DAY(EOMONTH($A11,0)))</f>
        <v/>
      </c>
      <c r="D11" s="15" t="str">
        <f aca="false">IF($A11&gt;Assumptions!$B$6,"",SUMIFS(Trips!$E$5:$E$1004,Trips!$L$5:$L$1004,$A11))</f>
        <v/>
      </c>
      <c r="E11" s="16" t="str">
        <f aca="false">IF($A11&gt;Assumptions!$B$6,"",IF(C11=0,0,D11/C11))</f>
        <v/>
      </c>
      <c r="F11" s="15" t="str">
        <f aca="false">IF($A11&gt;Assumptions!$B$6,"",COUNTIFS(Trips!$L$5:$L$1004,$A11))</f>
        <v/>
      </c>
      <c r="G11" s="17" t="str">
        <f aca="false">IF($A11&gt;Assumptions!$B$6,"",SUMIFS(Trips!$F$5:$F$1004,Trips!$L$5:$L$1004,$A11))</f>
        <v/>
      </c>
      <c r="H11" s="17" t="str">
        <f aca="false">IF($A11&gt;Assumptions!$B$6,"",SUMIFS(Trips!$H$5:$H$1004,Trips!$L$5:$L$1004,$A11)+SUMIFS(Trips!$I$5:$I$1004,Trips!$L$5:$L$1004,$A11))</f>
        <v/>
      </c>
      <c r="I11" s="17" t="str">
        <f aca="false">IF($A11&gt;Assumptions!$B$6,"",SUMIFS(Trips!$J$5:$J$1004,Trips!$L$5:$L$1004,$A11)+SUMIFS(Expenses!$E$5:$E$1004,Expenses!$G$5:$G$1004,$A11))</f>
        <v/>
      </c>
      <c r="J11" s="17" t="str">
        <f aca="false">IF($A11&gt;Assumptions!$B$6,"",SUMPRODUCT(((Fleet!$A$5:$A$79&lt;&gt;"")*(Fleet!$E$5:$E$79&lt;=EOMONTH($A11,0))*(((Fleet!$F$5:$F$79="")+(Fleet!$F$5:$F$79&gt;=$A11))&gt;0))*Fleet!$O$5:$O$79))</f>
        <v/>
      </c>
      <c r="K11" s="17" t="str">
        <f aca="false">IF($A11&gt;Assumptions!$B$6,"",H11-I11-J11)</f>
        <v/>
      </c>
      <c r="L11" s="17" t="str">
        <f aca="false">IF($A11&gt;Assumptions!$B$6,"",IF(B11=0,0,K11/B11))</f>
        <v/>
      </c>
      <c r="M11" s="17" t="str">
        <f aca="false">IF($A11&gt;Assumptions!$B$6,"",K11*12)</f>
        <v/>
      </c>
      <c r="N11" s="18" t="str">
        <f aca="false">IF($A11&gt;Assumptions!$B$6,"",IF(L11&lt;=0,"n/a",Assumptions!$B$4/12/L11))</f>
        <v/>
      </c>
    </row>
    <row r="12" customFormat="false" ht="15" hidden="false" customHeight="false" outlineLevel="0" collapsed="false">
      <c r="A12" s="19" t="n">
        <f aca="false">EDATE(A11,1)</f>
        <v>46388</v>
      </c>
      <c r="B12" s="15" t="str">
        <f aca="false">IF($A12&gt;Assumptions!$B$6,"",SUMPRODUCT(((Fleet!$A$5:$A$79&lt;&gt;"")*(Fleet!$E$5:$E$79&lt;=EOMONTH($A12,0))*(((Fleet!$F$5:$F$79="")+(Fleet!$F$5:$F$79&gt;=$A12))&gt;0))))</f>
        <v/>
      </c>
      <c r="C12" s="15" t="str">
        <f aca="false">IF($A12&gt;Assumptions!$B$6,"",B12*DAY(EOMONTH($A12,0)))</f>
        <v/>
      </c>
      <c r="D12" s="15" t="str">
        <f aca="false">IF($A12&gt;Assumptions!$B$6,"",SUMIFS(Trips!$E$5:$E$1004,Trips!$L$5:$L$1004,$A12))</f>
        <v/>
      </c>
      <c r="E12" s="16" t="str">
        <f aca="false">IF($A12&gt;Assumptions!$B$6,"",IF(C12=0,0,D12/C12))</f>
        <v/>
      </c>
      <c r="F12" s="15" t="str">
        <f aca="false">IF($A12&gt;Assumptions!$B$6,"",COUNTIFS(Trips!$L$5:$L$1004,$A12))</f>
        <v/>
      </c>
      <c r="G12" s="17" t="str">
        <f aca="false">IF($A12&gt;Assumptions!$B$6,"",SUMIFS(Trips!$F$5:$F$1004,Trips!$L$5:$L$1004,$A12))</f>
        <v/>
      </c>
      <c r="H12" s="17" t="str">
        <f aca="false">IF($A12&gt;Assumptions!$B$6,"",SUMIFS(Trips!$H$5:$H$1004,Trips!$L$5:$L$1004,$A12)+SUMIFS(Trips!$I$5:$I$1004,Trips!$L$5:$L$1004,$A12))</f>
        <v/>
      </c>
      <c r="I12" s="17" t="str">
        <f aca="false">IF($A12&gt;Assumptions!$B$6,"",SUMIFS(Trips!$J$5:$J$1004,Trips!$L$5:$L$1004,$A12)+SUMIFS(Expenses!$E$5:$E$1004,Expenses!$G$5:$G$1004,$A12))</f>
        <v/>
      </c>
      <c r="J12" s="17" t="str">
        <f aca="false">IF($A12&gt;Assumptions!$B$6,"",SUMPRODUCT(((Fleet!$A$5:$A$79&lt;&gt;"")*(Fleet!$E$5:$E$79&lt;=EOMONTH($A12,0))*(((Fleet!$F$5:$F$79="")+(Fleet!$F$5:$F$79&gt;=$A12))&gt;0))*Fleet!$O$5:$O$79))</f>
        <v/>
      </c>
      <c r="K12" s="17" t="str">
        <f aca="false">IF($A12&gt;Assumptions!$B$6,"",H12-I12-J12)</f>
        <v/>
      </c>
      <c r="L12" s="17" t="str">
        <f aca="false">IF($A12&gt;Assumptions!$B$6,"",IF(B12=0,0,K12/B12))</f>
        <v/>
      </c>
      <c r="M12" s="17" t="str">
        <f aca="false">IF($A12&gt;Assumptions!$B$6,"",K12*12)</f>
        <v/>
      </c>
      <c r="N12" s="18" t="str">
        <f aca="false">IF($A12&gt;Assumptions!$B$6,"",IF(L12&lt;=0,"n/a",Assumptions!$B$4/12/L12))</f>
        <v/>
      </c>
    </row>
    <row r="13" customFormat="false" ht="15" hidden="false" customHeight="false" outlineLevel="0" collapsed="false">
      <c r="A13" s="19" t="n">
        <f aca="false">EDATE(A12,1)</f>
        <v>46419</v>
      </c>
      <c r="B13" s="15" t="str">
        <f aca="false">IF($A13&gt;Assumptions!$B$6,"",SUMPRODUCT(((Fleet!$A$5:$A$79&lt;&gt;"")*(Fleet!$E$5:$E$79&lt;=EOMONTH($A13,0))*(((Fleet!$F$5:$F$79="")+(Fleet!$F$5:$F$79&gt;=$A13))&gt;0))))</f>
        <v/>
      </c>
      <c r="C13" s="15" t="str">
        <f aca="false">IF($A13&gt;Assumptions!$B$6,"",B13*DAY(EOMONTH($A13,0)))</f>
        <v/>
      </c>
      <c r="D13" s="15" t="str">
        <f aca="false">IF($A13&gt;Assumptions!$B$6,"",SUMIFS(Trips!$E$5:$E$1004,Trips!$L$5:$L$1004,$A13))</f>
        <v/>
      </c>
      <c r="E13" s="16" t="str">
        <f aca="false">IF($A13&gt;Assumptions!$B$6,"",IF(C13=0,0,D13/C13))</f>
        <v/>
      </c>
      <c r="F13" s="15" t="str">
        <f aca="false">IF($A13&gt;Assumptions!$B$6,"",COUNTIFS(Trips!$L$5:$L$1004,$A13))</f>
        <v/>
      </c>
      <c r="G13" s="17" t="str">
        <f aca="false">IF($A13&gt;Assumptions!$B$6,"",SUMIFS(Trips!$F$5:$F$1004,Trips!$L$5:$L$1004,$A13))</f>
        <v/>
      </c>
      <c r="H13" s="17" t="str">
        <f aca="false">IF($A13&gt;Assumptions!$B$6,"",SUMIFS(Trips!$H$5:$H$1004,Trips!$L$5:$L$1004,$A13)+SUMIFS(Trips!$I$5:$I$1004,Trips!$L$5:$L$1004,$A13))</f>
        <v/>
      </c>
      <c r="I13" s="17" t="str">
        <f aca="false">IF($A13&gt;Assumptions!$B$6,"",SUMIFS(Trips!$J$5:$J$1004,Trips!$L$5:$L$1004,$A13)+SUMIFS(Expenses!$E$5:$E$1004,Expenses!$G$5:$G$1004,$A13))</f>
        <v/>
      </c>
      <c r="J13" s="17" t="str">
        <f aca="false">IF($A13&gt;Assumptions!$B$6,"",SUMPRODUCT(((Fleet!$A$5:$A$79&lt;&gt;"")*(Fleet!$E$5:$E$79&lt;=EOMONTH($A13,0))*(((Fleet!$F$5:$F$79="")+(Fleet!$F$5:$F$79&gt;=$A13))&gt;0))*Fleet!$O$5:$O$79))</f>
        <v/>
      </c>
      <c r="K13" s="17" t="str">
        <f aca="false">IF($A13&gt;Assumptions!$B$6,"",H13-I13-J13)</f>
        <v/>
      </c>
      <c r="L13" s="17" t="str">
        <f aca="false">IF($A13&gt;Assumptions!$B$6,"",IF(B13=0,0,K13/B13))</f>
        <v/>
      </c>
      <c r="M13" s="17" t="str">
        <f aca="false">IF($A13&gt;Assumptions!$B$6,"",K13*12)</f>
        <v/>
      </c>
      <c r="N13" s="18" t="str">
        <f aca="false">IF($A13&gt;Assumptions!$B$6,"",IF(L13&lt;=0,"n/a",Assumptions!$B$4/12/L13))</f>
        <v/>
      </c>
    </row>
    <row r="14" customFormat="false" ht="15" hidden="false" customHeight="false" outlineLevel="0" collapsed="false">
      <c r="A14" s="19" t="n">
        <f aca="false">EDATE(A13,1)</f>
        <v>46447</v>
      </c>
      <c r="B14" s="15" t="str">
        <f aca="false">IF($A14&gt;Assumptions!$B$6,"",SUMPRODUCT(((Fleet!$A$5:$A$79&lt;&gt;"")*(Fleet!$E$5:$E$79&lt;=EOMONTH($A14,0))*(((Fleet!$F$5:$F$79="")+(Fleet!$F$5:$F$79&gt;=$A14))&gt;0))))</f>
        <v/>
      </c>
      <c r="C14" s="15" t="str">
        <f aca="false">IF($A14&gt;Assumptions!$B$6,"",B14*DAY(EOMONTH($A14,0)))</f>
        <v/>
      </c>
      <c r="D14" s="15" t="str">
        <f aca="false">IF($A14&gt;Assumptions!$B$6,"",SUMIFS(Trips!$E$5:$E$1004,Trips!$L$5:$L$1004,$A14))</f>
        <v/>
      </c>
      <c r="E14" s="16" t="str">
        <f aca="false">IF($A14&gt;Assumptions!$B$6,"",IF(C14=0,0,D14/C14))</f>
        <v/>
      </c>
      <c r="F14" s="15" t="str">
        <f aca="false">IF($A14&gt;Assumptions!$B$6,"",COUNTIFS(Trips!$L$5:$L$1004,$A14))</f>
        <v/>
      </c>
      <c r="G14" s="17" t="str">
        <f aca="false">IF($A14&gt;Assumptions!$B$6,"",SUMIFS(Trips!$F$5:$F$1004,Trips!$L$5:$L$1004,$A14))</f>
        <v/>
      </c>
      <c r="H14" s="17" t="str">
        <f aca="false">IF($A14&gt;Assumptions!$B$6,"",SUMIFS(Trips!$H$5:$H$1004,Trips!$L$5:$L$1004,$A14)+SUMIFS(Trips!$I$5:$I$1004,Trips!$L$5:$L$1004,$A14))</f>
        <v/>
      </c>
      <c r="I14" s="17" t="str">
        <f aca="false">IF($A14&gt;Assumptions!$B$6,"",SUMIFS(Trips!$J$5:$J$1004,Trips!$L$5:$L$1004,$A14)+SUMIFS(Expenses!$E$5:$E$1004,Expenses!$G$5:$G$1004,$A14))</f>
        <v/>
      </c>
      <c r="J14" s="17" t="str">
        <f aca="false">IF($A14&gt;Assumptions!$B$6,"",SUMPRODUCT(((Fleet!$A$5:$A$79&lt;&gt;"")*(Fleet!$E$5:$E$79&lt;=EOMONTH($A14,0))*(((Fleet!$F$5:$F$79="")+(Fleet!$F$5:$F$79&gt;=$A14))&gt;0))*Fleet!$O$5:$O$79))</f>
        <v/>
      </c>
      <c r="K14" s="17" t="str">
        <f aca="false">IF($A14&gt;Assumptions!$B$6,"",H14-I14-J14)</f>
        <v/>
      </c>
      <c r="L14" s="17" t="str">
        <f aca="false">IF($A14&gt;Assumptions!$B$6,"",IF(B14=0,0,K14/B14))</f>
        <v/>
      </c>
      <c r="M14" s="17" t="str">
        <f aca="false">IF($A14&gt;Assumptions!$B$6,"",K14*12)</f>
        <v/>
      </c>
      <c r="N14" s="18" t="str">
        <f aca="false">IF($A14&gt;Assumptions!$B$6,"",IF(L14&lt;=0,"n/a",Assumptions!$B$4/12/L14))</f>
        <v/>
      </c>
    </row>
    <row r="15" customFormat="false" ht="15" hidden="false" customHeight="false" outlineLevel="0" collapsed="false">
      <c r="A15" s="19" t="n">
        <f aca="false">EDATE(A14,1)</f>
        <v>46478</v>
      </c>
      <c r="B15" s="15" t="str">
        <f aca="false">IF($A15&gt;Assumptions!$B$6,"",SUMPRODUCT(((Fleet!$A$5:$A$79&lt;&gt;"")*(Fleet!$E$5:$E$79&lt;=EOMONTH($A15,0))*(((Fleet!$F$5:$F$79="")+(Fleet!$F$5:$F$79&gt;=$A15))&gt;0))))</f>
        <v/>
      </c>
      <c r="C15" s="15" t="str">
        <f aca="false">IF($A15&gt;Assumptions!$B$6,"",B15*DAY(EOMONTH($A15,0)))</f>
        <v/>
      </c>
      <c r="D15" s="15" t="str">
        <f aca="false">IF($A15&gt;Assumptions!$B$6,"",SUMIFS(Trips!$E$5:$E$1004,Trips!$L$5:$L$1004,$A15))</f>
        <v/>
      </c>
      <c r="E15" s="16" t="str">
        <f aca="false">IF($A15&gt;Assumptions!$B$6,"",IF(C15=0,0,D15/C15))</f>
        <v/>
      </c>
      <c r="F15" s="15" t="str">
        <f aca="false">IF($A15&gt;Assumptions!$B$6,"",COUNTIFS(Trips!$L$5:$L$1004,$A15))</f>
        <v/>
      </c>
      <c r="G15" s="17" t="str">
        <f aca="false">IF($A15&gt;Assumptions!$B$6,"",SUMIFS(Trips!$F$5:$F$1004,Trips!$L$5:$L$1004,$A15))</f>
        <v/>
      </c>
      <c r="H15" s="17" t="str">
        <f aca="false">IF($A15&gt;Assumptions!$B$6,"",SUMIFS(Trips!$H$5:$H$1004,Trips!$L$5:$L$1004,$A15)+SUMIFS(Trips!$I$5:$I$1004,Trips!$L$5:$L$1004,$A15))</f>
        <v/>
      </c>
      <c r="I15" s="17" t="str">
        <f aca="false">IF($A15&gt;Assumptions!$B$6,"",SUMIFS(Trips!$J$5:$J$1004,Trips!$L$5:$L$1004,$A15)+SUMIFS(Expenses!$E$5:$E$1004,Expenses!$G$5:$G$1004,$A15))</f>
        <v/>
      </c>
      <c r="J15" s="17" t="str">
        <f aca="false">IF($A15&gt;Assumptions!$B$6,"",SUMPRODUCT(((Fleet!$A$5:$A$79&lt;&gt;"")*(Fleet!$E$5:$E$79&lt;=EOMONTH($A15,0))*(((Fleet!$F$5:$F$79="")+(Fleet!$F$5:$F$79&gt;=$A15))&gt;0))*Fleet!$O$5:$O$79))</f>
        <v/>
      </c>
      <c r="K15" s="17" t="str">
        <f aca="false">IF($A15&gt;Assumptions!$B$6,"",H15-I15-J15)</f>
        <v/>
      </c>
      <c r="L15" s="17" t="str">
        <f aca="false">IF($A15&gt;Assumptions!$B$6,"",IF(B15=0,0,K15/B15))</f>
        <v/>
      </c>
      <c r="M15" s="17" t="str">
        <f aca="false">IF($A15&gt;Assumptions!$B$6,"",K15*12)</f>
        <v/>
      </c>
      <c r="N15" s="18" t="str">
        <f aca="false">IF($A15&gt;Assumptions!$B$6,"",IF(L15&lt;=0,"n/a",Assumptions!$B$4/12/L15))</f>
        <v/>
      </c>
    </row>
    <row r="16" customFormat="false" ht="15" hidden="false" customHeight="false" outlineLevel="0" collapsed="false">
      <c r="A16" s="19" t="n">
        <f aca="false">EDATE(A15,1)</f>
        <v>46508</v>
      </c>
      <c r="B16" s="15" t="str">
        <f aca="false">IF($A16&gt;Assumptions!$B$6,"",SUMPRODUCT(((Fleet!$A$5:$A$79&lt;&gt;"")*(Fleet!$E$5:$E$79&lt;=EOMONTH($A16,0))*(((Fleet!$F$5:$F$79="")+(Fleet!$F$5:$F$79&gt;=$A16))&gt;0))))</f>
        <v/>
      </c>
      <c r="C16" s="15" t="str">
        <f aca="false">IF($A16&gt;Assumptions!$B$6,"",B16*DAY(EOMONTH($A16,0)))</f>
        <v/>
      </c>
      <c r="D16" s="15" t="str">
        <f aca="false">IF($A16&gt;Assumptions!$B$6,"",SUMIFS(Trips!$E$5:$E$1004,Trips!$L$5:$L$1004,$A16))</f>
        <v/>
      </c>
      <c r="E16" s="16" t="str">
        <f aca="false">IF($A16&gt;Assumptions!$B$6,"",IF(C16=0,0,D16/C16))</f>
        <v/>
      </c>
      <c r="F16" s="15" t="str">
        <f aca="false">IF($A16&gt;Assumptions!$B$6,"",COUNTIFS(Trips!$L$5:$L$1004,$A16))</f>
        <v/>
      </c>
      <c r="G16" s="17" t="str">
        <f aca="false">IF($A16&gt;Assumptions!$B$6,"",SUMIFS(Trips!$F$5:$F$1004,Trips!$L$5:$L$1004,$A16))</f>
        <v/>
      </c>
      <c r="H16" s="17" t="str">
        <f aca="false">IF($A16&gt;Assumptions!$B$6,"",SUMIFS(Trips!$H$5:$H$1004,Trips!$L$5:$L$1004,$A16)+SUMIFS(Trips!$I$5:$I$1004,Trips!$L$5:$L$1004,$A16))</f>
        <v/>
      </c>
      <c r="I16" s="17" t="str">
        <f aca="false">IF($A16&gt;Assumptions!$B$6,"",SUMIFS(Trips!$J$5:$J$1004,Trips!$L$5:$L$1004,$A16)+SUMIFS(Expenses!$E$5:$E$1004,Expenses!$G$5:$G$1004,$A16))</f>
        <v/>
      </c>
      <c r="J16" s="17" t="str">
        <f aca="false">IF($A16&gt;Assumptions!$B$6,"",SUMPRODUCT(((Fleet!$A$5:$A$79&lt;&gt;"")*(Fleet!$E$5:$E$79&lt;=EOMONTH($A16,0))*(((Fleet!$F$5:$F$79="")+(Fleet!$F$5:$F$79&gt;=$A16))&gt;0))*Fleet!$O$5:$O$79))</f>
        <v/>
      </c>
      <c r="K16" s="17" t="str">
        <f aca="false">IF($A16&gt;Assumptions!$B$6,"",H16-I16-J16)</f>
        <v/>
      </c>
      <c r="L16" s="17" t="str">
        <f aca="false">IF($A16&gt;Assumptions!$B$6,"",IF(B16=0,0,K16/B16))</f>
        <v/>
      </c>
      <c r="M16" s="17" t="str">
        <f aca="false">IF($A16&gt;Assumptions!$B$6,"",K16*12)</f>
        <v/>
      </c>
      <c r="N16" s="18" t="str">
        <f aca="false">IF($A16&gt;Assumptions!$B$6,"",IF(L16&lt;=0,"n/a",Assumptions!$B$4/12/L16))</f>
        <v/>
      </c>
    </row>
    <row r="17" customFormat="false" ht="15" hidden="false" customHeight="false" outlineLevel="0" collapsed="false">
      <c r="A17" s="19" t="n">
        <f aca="false">EDATE(A16,1)</f>
        <v>46539</v>
      </c>
      <c r="B17" s="15" t="str">
        <f aca="false">IF($A17&gt;Assumptions!$B$6,"",SUMPRODUCT(((Fleet!$A$5:$A$79&lt;&gt;"")*(Fleet!$E$5:$E$79&lt;=EOMONTH($A17,0))*(((Fleet!$F$5:$F$79="")+(Fleet!$F$5:$F$79&gt;=$A17))&gt;0))))</f>
        <v/>
      </c>
      <c r="C17" s="15" t="str">
        <f aca="false">IF($A17&gt;Assumptions!$B$6,"",B17*DAY(EOMONTH($A17,0)))</f>
        <v/>
      </c>
      <c r="D17" s="15" t="str">
        <f aca="false">IF($A17&gt;Assumptions!$B$6,"",SUMIFS(Trips!$E$5:$E$1004,Trips!$L$5:$L$1004,$A17))</f>
        <v/>
      </c>
      <c r="E17" s="16" t="str">
        <f aca="false">IF($A17&gt;Assumptions!$B$6,"",IF(C17=0,0,D17/C17))</f>
        <v/>
      </c>
      <c r="F17" s="15" t="str">
        <f aca="false">IF($A17&gt;Assumptions!$B$6,"",COUNTIFS(Trips!$L$5:$L$1004,$A17))</f>
        <v/>
      </c>
      <c r="G17" s="17" t="str">
        <f aca="false">IF($A17&gt;Assumptions!$B$6,"",SUMIFS(Trips!$F$5:$F$1004,Trips!$L$5:$L$1004,$A17))</f>
        <v/>
      </c>
      <c r="H17" s="17" t="str">
        <f aca="false">IF($A17&gt;Assumptions!$B$6,"",SUMIFS(Trips!$H$5:$H$1004,Trips!$L$5:$L$1004,$A17)+SUMIFS(Trips!$I$5:$I$1004,Trips!$L$5:$L$1004,$A17))</f>
        <v/>
      </c>
      <c r="I17" s="17" t="str">
        <f aca="false">IF($A17&gt;Assumptions!$B$6,"",SUMIFS(Trips!$J$5:$J$1004,Trips!$L$5:$L$1004,$A17)+SUMIFS(Expenses!$E$5:$E$1004,Expenses!$G$5:$G$1004,$A17))</f>
        <v/>
      </c>
      <c r="J17" s="17" t="str">
        <f aca="false">IF($A17&gt;Assumptions!$B$6,"",SUMPRODUCT(((Fleet!$A$5:$A$79&lt;&gt;"")*(Fleet!$E$5:$E$79&lt;=EOMONTH($A17,0))*(((Fleet!$F$5:$F$79="")+(Fleet!$F$5:$F$79&gt;=$A17))&gt;0))*Fleet!$O$5:$O$79))</f>
        <v/>
      </c>
      <c r="K17" s="17" t="str">
        <f aca="false">IF($A17&gt;Assumptions!$B$6,"",H17-I17-J17)</f>
        <v/>
      </c>
      <c r="L17" s="17" t="str">
        <f aca="false">IF($A17&gt;Assumptions!$B$6,"",IF(B17=0,0,K17/B17))</f>
        <v/>
      </c>
      <c r="M17" s="17" t="str">
        <f aca="false">IF($A17&gt;Assumptions!$B$6,"",K17*12)</f>
        <v/>
      </c>
      <c r="N17" s="18" t="str">
        <f aca="false">IF($A17&gt;Assumptions!$B$6,"",IF(L17&lt;=0,"n/a",Assumptions!$B$4/12/L17))</f>
        <v/>
      </c>
    </row>
    <row r="18" customFormat="false" ht="15" hidden="false" customHeight="false" outlineLevel="0" collapsed="false">
      <c r="A18" s="19" t="n">
        <f aca="false">EDATE(A17,1)</f>
        <v>46569</v>
      </c>
      <c r="B18" s="15" t="str">
        <f aca="false">IF($A18&gt;Assumptions!$B$6,"",SUMPRODUCT(((Fleet!$A$5:$A$79&lt;&gt;"")*(Fleet!$E$5:$E$79&lt;=EOMONTH($A18,0))*(((Fleet!$F$5:$F$79="")+(Fleet!$F$5:$F$79&gt;=$A18))&gt;0))))</f>
        <v/>
      </c>
      <c r="C18" s="15" t="str">
        <f aca="false">IF($A18&gt;Assumptions!$B$6,"",B18*DAY(EOMONTH($A18,0)))</f>
        <v/>
      </c>
      <c r="D18" s="15" t="str">
        <f aca="false">IF($A18&gt;Assumptions!$B$6,"",SUMIFS(Trips!$E$5:$E$1004,Trips!$L$5:$L$1004,$A18))</f>
        <v/>
      </c>
      <c r="E18" s="16" t="str">
        <f aca="false">IF($A18&gt;Assumptions!$B$6,"",IF(C18=0,0,D18/C18))</f>
        <v/>
      </c>
      <c r="F18" s="15" t="str">
        <f aca="false">IF($A18&gt;Assumptions!$B$6,"",COUNTIFS(Trips!$L$5:$L$1004,$A18))</f>
        <v/>
      </c>
      <c r="G18" s="17" t="str">
        <f aca="false">IF($A18&gt;Assumptions!$B$6,"",SUMIFS(Trips!$F$5:$F$1004,Trips!$L$5:$L$1004,$A18))</f>
        <v/>
      </c>
      <c r="H18" s="17" t="str">
        <f aca="false">IF($A18&gt;Assumptions!$B$6,"",SUMIFS(Trips!$H$5:$H$1004,Trips!$L$5:$L$1004,$A18)+SUMIFS(Trips!$I$5:$I$1004,Trips!$L$5:$L$1004,$A18))</f>
        <v/>
      </c>
      <c r="I18" s="17" t="str">
        <f aca="false">IF($A18&gt;Assumptions!$B$6,"",SUMIFS(Trips!$J$5:$J$1004,Trips!$L$5:$L$1004,$A18)+SUMIFS(Expenses!$E$5:$E$1004,Expenses!$G$5:$G$1004,$A18))</f>
        <v/>
      </c>
      <c r="J18" s="17" t="str">
        <f aca="false">IF($A18&gt;Assumptions!$B$6,"",SUMPRODUCT(((Fleet!$A$5:$A$79&lt;&gt;"")*(Fleet!$E$5:$E$79&lt;=EOMONTH($A18,0))*(((Fleet!$F$5:$F$79="")+(Fleet!$F$5:$F$79&gt;=$A18))&gt;0))*Fleet!$O$5:$O$79))</f>
        <v/>
      </c>
      <c r="K18" s="17" t="str">
        <f aca="false">IF($A18&gt;Assumptions!$B$6,"",H18-I18-J18)</f>
        <v/>
      </c>
      <c r="L18" s="17" t="str">
        <f aca="false">IF($A18&gt;Assumptions!$B$6,"",IF(B18=0,0,K18/B18))</f>
        <v/>
      </c>
      <c r="M18" s="17" t="str">
        <f aca="false">IF($A18&gt;Assumptions!$B$6,"",K18*12)</f>
        <v/>
      </c>
      <c r="N18" s="18" t="str">
        <f aca="false">IF($A18&gt;Assumptions!$B$6,"",IF(L18&lt;=0,"n/a",Assumptions!$B$4/12/L18))</f>
        <v/>
      </c>
    </row>
    <row r="19" customFormat="false" ht="15" hidden="false" customHeight="false" outlineLevel="0" collapsed="false">
      <c r="A19" s="19" t="n">
        <f aca="false">EDATE(A18,1)</f>
        <v>46600</v>
      </c>
      <c r="B19" s="15" t="str">
        <f aca="false">IF($A19&gt;Assumptions!$B$6,"",SUMPRODUCT(((Fleet!$A$5:$A$79&lt;&gt;"")*(Fleet!$E$5:$E$79&lt;=EOMONTH($A19,0))*(((Fleet!$F$5:$F$79="")+(Fleet!$F$5:$F$79&gt;=$A19))&gt;0))))</f>
        <v/>
      </c>
      <c r="C19" s="15" t="str">
        <f aca="false">IF($A19&gt;Assumptions!$B$6,"",B19*DAY(EOMONTH($A19,0)))</f>
        <v/>
      </c>
      <c r="D19" s="15" t="str">
        <f aca="false">IF($A19&gt;Assumptions!$B$6,"",SUMIFS(Trips!$E$5:$E$1004,Trips!$L$5:$L$1004,$A19))</f>
        <v/>
      </c>
      <c r="E19" s="16" t="str">
        <f aca="false">IF($A19&gt;Assumptions!$B$6,"",IF(C19=0,0,D19/C19))</f>
        <v/>
      </c>
      <c r="F19" s="15" t="str">
        <f aca="false">IF($A19&gt;Assumptions!$B$6,"",COUNTIFS(Trips!$L$5:$L$1004,$A19))</f>
        <v/>
      </c>
      <c r="G19" s="17" t="str">
        <f aca="false">IF($A19&gt;Assumptions!$B$6,"",SUMIFS(Trips!$F$5:$F$1004,Trips!$L$5:$L$1004,$A19))</f>
        <v/>
      </c>
      <c r="H19" s="17" t="str">
        <f aca="false">IF($A19&gt;Assumptions!$B$6,"",SUMIFS(Trips!$H$5:$H$1004,Trips!$L$5:$L$1004,$A19)+SUMIFS(Trips!$I$5:$I$1004,Trips!$L$5:$L$1004,$A19))</f>
        <v/>
      </c>
      <c r="I19" s="17" t="str">
        <f aca="false">IF($A19&gt;Assumptions!$B$6,"",SUMIFS(Trips!$J$5:$J$1004,Trips!$L$5:$L$1004,$A19)+SUMIFS(Expenses!$E$5:$E$1004,Expenses!$G$5:$G$1004,$A19))</f>
        <v/>
      </c>
      <c r="J19" s="17" t="str">
        <f aca="false">IF($A19&gt;Assumptions!$B$6,"",SUMPRODUCT(((Fleet!$A$5:$A$79&lt;&gt;"")*(Fleet!$E$5:$E$79&lt;=EOMONTH($A19,0))*(((Fleet!$F$5:$F$79="")+(Fleet!$F$5:$F$79&gt;=$A19))&gt;0))*Fleet!$O$5:$O$79))</f>
        <v/>
      </c>
      <c r="K19" s="17" t="str">
        <f aca="false">IF($A19&gt;Assumptions!$B$6,"",H19-I19-J19)</f>
        <v/>
      </c>
      <c r="L19" s="17" t="str">
        <f aca="false">IF($A19&gt;Assumptions!$B$6,"",IF(B19=0,0,K19/B19))</f>
        <v/>
      </c>
      <c r="M19" s="17" t="str">
        <f aca="false">IF($A19&gt;Assumptions!$B$6,"",K19*12)</f>
        <v/>
      </c>
      <c r="N19" s="18" t="str">
        <f aca="false">IF($A19&gt;Assumptions!$B$6,"",IF(L19&lt;=0,"n/a",Assumptions!$B$4/12/L19))</f>
        <v/>
      </c>
    </row>
    <row r="20" customFormat="false" ht="15" hidden="false" customHeight="false" outlineLevel="0" collapsed="false">
      <c r="A20" s="19" t="n">
        <f aca="false">EDATE(A19,1)</f>
        <v>46631</v>
      </c>
      <c r="B20" s="15" t="str">
        <f aca="false">IF($A20&gt;Assumptions!$B$6,"",SUMPRODUCT(((Fleet!$A$5:$A$79&lt;&gt;"")*(Fleet!$E$5:$E$79&lt;=EOMONTH($A20,0))*(((Fleet!$F$5:$F$79="")+(Fleet!$F$5:$F$79&gt;=$A20))&gt;0))))</f>
        <v/>
      </c>
      <c r="C20" s="15" t="str">
        <f aca="false">IF($A20&gt;Assumptions!$B$6,"",B20*DAY(EOMONTH($A20,0)))</f>
        <v/>
      </c>
      <c r="D20" s="15" t="str">
        <f aca="false">IF($A20&gt;Assumptions!$B$6,"",SUMIFS(Trips!$E$5:$E$1004,Trips!$L$5:$L$1004,$A20))</f>
        <v/>
      </c>
      <c r="E20" s="16" t="str">
        <f aca="false">IF($A20&gt;Assumptions!$B$6,"",IF(C20=0,0,D20/C20))</f>
        <v/>
      </c>
      <c r="F20" s="15" t="str">
        <f aca="false">IF($A20&gt;Assumptions!$B$6,"",COUNTIFS(Trips!$L$5:$L$1004,$A20))</f>
        <v/>
      </c>
      <c r="G20" s="17" t="str">
        <f aca="false">IF($A20&gt;Assumptions!$B$6,"",SUMIFS(Trips!$F$5:$F$1004,Trips!$L$5:$L$1004,$A20))</f>
        <v/>
      </c>
      <c r="H20" s="17" t="str">
        <f aca="false">IF($A20&gt;Assumptions!$B$6,"",SUMIFS(Trips!$H$5:$H$1004,Trips!$L$5:$L$1004,$A20)+SUMIFS(Trips!$I$5:$I$1004,Trips!$L$5:$L$1004,$A20))</f>
        <v/>
      </c>
      <c r="I20" s="17" t="str">
        <f aca="false">IF($A20&gt;Assumptions!$B$6,"",SUMIFS(Trips!$J$5:$J$1004,Trips!$L$5:$L$1004,$A20)+SUMIFS(Expenses!$E$5:$E$1004,Expenses!$G$5:$G$1004,$A20))</f>
        <v/>
      </c>
      <c r="J20" s="17" t="str">
        <f aca="false">IF($A20&gt;Assumptions!$B$6,"",SUMPRODUCT(((Fleet!$A$5:$A$79&lt;&gt;"")*(Fleet!$E$5:$E$79&lt;=EOMONTH($A20,0))*(((Fleet!$F$5:$F$79="")+(Fleet!$F$5:$F$79&gt;=$A20))&gt;0))*Fleet!$O$5:$O$79))</f>
        <v/>
      </c>
      <c r="K20" s="17" t="str">
        <f aca="false">IF($A20&gt;Assumptions!$B$6,"",H20-I20-J20)</f>
        <v/>
      </c>
      <c r="L20" s="17" t="str">
        <f aca="false">IF($A20&gt;Assumptions!$B$6,"",IF(B20=0,0,K20/B20))</f>
        <v/>
      </c>
      <c r="M20" s="17" t="str">
        <f aca="false">IF($A20&gt;Assumptions!$B$6,"",K20*12)</f>
        <v/>
      </c>
      <c r="N20" s="18" t="str">
        <f aca="false">IF($A20&gt;Assumptions!$B$6,"",IF(L20&lt;=0,"n/a",Assumptions!$B$4/12/L20))</f>
        <v/>
      </c>
    </row>
    <row r="21" customFormat="false" ht="15" hidden="false" customHeight="false" outlineLevel="0" collapsed="false">
      <c r="A21" s="19" t="n">
        <f aca="false">EDATE(A20,1)</f>
        <v>46661</v>
      </c>
      <c r="B21" s="15" t="str">
        <f aca="false">IF($A21&gt;Assumptions!$B$6,"",SUMPRODUCT(((Fleet!$A$5:$A$79&lt;&gt;"")*(Fleet!$E$5:$E$79&lt;=EOMONTH($A21,0))*(((Fleet!$F$5:$F$79="")+(Fleet!$F$5:$F$79&gt;=$A21))&gt;0))))</f>
        <v/>
      </c>
      <c r="C21" s="15" t="str">
        <f aca="false">IF($A21&gt;Assumptions!$B$6,"",B21*DAY(EOMONTH($A21,0)))</f>
        <v/>
      </c>
      <c r="D21" s="15" t="str">
        <f aca="false">IF($A21&gt;Assumptions!$B$6,"",SUMIFS(Trips!$E$5:$E$1004,Trips!$L$5:$L$1004,$A21))</f>
        <v/>
      </c>
      <c r="E21" s="16" t="str">
        <f aca="false">IF($A21&gt;Assumptions!$B$6,"",IF(C21=0,0,D21/C21))</f>
        <v/>
      </c>
      <c r="F21" s="15" t="str">
        <f aca="false">IF($A21&gt;Assumptions!$B$6,"",COUNTIFS(Trips!$L$5:$L$1004,$A21))</f>
        <v/>
      </c>
      <c r="G21" s="17" t="str">
        <f aca="false">IF($A21&gt;Assumptions!$B$6,"",SUMIFS(Trips!$F$5:$F$1004,Trips!$L$5:$L$1004,$A21))</f>
        <v/>
      </c>
      <c r="H21" s="17" t="str">
        <f aca="false">IF($A21&gt;Assumptions!$B$6,"",SUMIFS(Trips!$H$5:$H$1004,Trips!$L$5:$L$1004,$A21)+SUMIFS(Trips!$I$5:$I$1004,Trips!$L$5:$L$1004,$A21))</f>
        <v/>
      </c>
      <c r="I21" s="17" t="str">
        <f aca="false">IF($A21&gt;Assumptions!$B$6,"",SUMIFS(Trips!$J$5:$J$1004,Trips!$L$5:$L$1004,$A21)+SUMIFS(Expenses!$E$5:$E$1004,Expenses!$G$5:$G$1004,$A21))</f>
        <v/>
      </c>
      <c r="J21" s="17" t="str">
        <f aca="false">IF($A21&gt;Assumptions!$B$6,"",SUMPRODUCT(((Fleet!$A$5:$A$79&lt;&gt;"")*(Fleet!$E$5:$E$79&lt;=EOMONTH($A21,0))*(((Fleet!$F$5:$F$79="")+(Fleet!$F$5:$F$79&gt;=$A21))&gt;0))*Fleet!$O$5:$O$79))</f>
        <v/>
      </c>
      <c r="K21" s="17" t="str">
        <f aca="false">IF($A21&gt;Assumptions!$B$6,"",H21-I21-J21)</f>
        <v/>
      </c>
      <c r="L21" s="17" t="str">
        <f aca="false">IF($A21&gt;Assumptions!$B$6,"",IF(B21=0,0,K21/B21))</f>
        <v/>
      </c>
      <c r="M21" s="17" t="str">
        <f aca="false">IF($A21&gt;Assumptions!$B$6,"",K21*12)</f>
        <v/>
      </c>
      <c r="N21" s="18" t="str">
        <f aca="false">IF($A21&gt;Assumptions!$B$6,"",IF(L21&lt;=0,"n/a",Assumptions!$B$4/12/L21))</f>
        <v/>
      </c>
    </row>
    <row r="22" customFormat="false" ht="15" hidden="false" customHeight="false" outlineLevel="0" collapsed="false">
      <c r="A22" s="20" t="s">
        <v>57</v>
      </c>
      <c r="B22" s="21"/>
      <c r="C22" s="21" t="n">
        <f aca="false">SUM(C10:C21)</f>
        <v>60</v>
      </c>
      <c r="D22" s="21" t="n">
        <f aca="false">SUM(D10:D21)</f>
        <v>19</v>
      </c>
      <c r="E22" s="22" t="n">
        <f aca="false">IF(C22=0,0,D22/C22)</f>
        <v>0.316666666666667</v>
      </c>
      <c r="F22" s="21" t="n">
        <f aca="false">SUM(F10:F21)</f>
        <v>4</v>
      </c>
      <c r="G22" s="23" t="n">
        <f aca="false">SUM(G10:G21)</f>
        <v>1206</v>
      </c>
      <c r="H22" s="23" t="n">
        <f aca="false">SUM(H10:H21)</f>
        <v>994.8</v>
      </c>
      <c r="I22" s="23" t="n">
        <f aca="false">SUM(I10:I21)</f>
        <v>323</v>
      </c>
      <c r="J22" s="23" t="n">
        <f aca="false">SUM(J10:J21)</f>
        <v>965</v>
      </c>
      <c r="K22" s="23" t="n">
        <f aca="false">SUM(K10:K21)</f>
        <v>-293.2</v>
      </c>
      <c r="L22" s="23"/>
      <c r="M22" s="23"/>
      <c r="N22" s="24"/>
    </row>
  </sheetData>
  <conditionalFormatting sqref="E10:E21">
    <cfRule type="cellIs" priority="2" operator="lessThan" aboveAverage="0" equalAverage="0" bottom="0" percent="0" rank="0" text="" dxfId="0">
      <formula>Assumptions!$B$8</formula>
    </cfRule>
  </conditionalFormatting>
  <conditionalFormatting sqref="K10:K21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58</v>
      </c>
      <c r="B1" s="2"/>
      <c r="C1" s="2"/>
    </row>
    <row r="2" customFormat="false" ht="15" hidden="false" customHeight="false" outlineLevel="0" collapsed="false">
      <c r="A2" s="3" t="s">
        <v>59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60</v>
      </c>
      <c r="B4" s="25" t="n">
        <v>300000</v>
      </c>
      <c r="C4" s="3" t="s">
        <v>61</v>
      </c>
    </row>
    <row r="5" customFormat="false" ht="15" hidden="false" customHeight="false" outlineLevel="0" collapsed="false">
      <c r="A5" s="4" t="s">
        <v>62</v>
      </c>
      <c r="B5" s="26" t="n">
        <v>46327</v>
      </c>
      <c r="C5" s="3" t="s">
        <v>63</v>
      </c>
    </row>
    <row r="6" customFormat="false" ht="15" hidden="false" customHeight="false" outlineLevel="0" collapsed="false">
      <c r="A6" s="4" t="s">
        <v>64</v>
      </c>
      <c r="B6" s="26" t="n">
        <v>46327</v>
      </c>
      <c r="C6" s="3" t="s">
        <v>65</v>
      </c>
    </row>
    <row r="7" customFormat="false" ht="15" hidden="false" customHeight="false" outlineLevel="0" collapsed="false">
      <c r="A7" s="4" t="s">
        <v>66</v>
      </c>
      <c r="B7" s="27" t="n">
        <v>0.8</v>
      </c>
      <c r="C7" s="3" t="s">
        <v>67</v>
      </c>
    </row>
    <row r="8" customFormat="false" ht="15" hidden="false" customHeight="false" outlineLevel="0" collapsed="false">
      <c r="A8" s="4" t="s">
        <v>68</v>
      </c>
      <c r="B8" s="27" t="n">
        <v>0.6</v>
      </c>
      <c r="C8" s="3" t="s">
        <v>69</v>
      </c>
    </row>
    <row r="9" customFormat="false" ht="15" hidden="false" customHeight="false" outlineLevel="0" collapsed="false">
      <c r="A9" s="4" t="s">
        <v>70</v>
      </c>
      <c r="B9" s="25" t="n">
        <v>350</v>
      </c>
      <c r="C9" s="3" t="s">
        <v>71</v>
      </c>
    </row>
    <row r="10" customFormat="false" ht="15" hidden="false" customHeight="false" outlineLevel="0" collapsed="false">
      <c r="A10" s="4" t="s">
        <v>72</v>
      </c>
      <c r="B10" s="28" t="n">
        <v>30</v>
      </c>
      <c r="C10" s="3" t="s">
        <v>73</v>
      </c>
    </row>
    <row r="11" customFormat="false" ht="15" hidden="false" customHeight="false" outlineLevel="0" collapsed="false">
      <c r="A11" s="4" t="s">
        <v>74</v>
      </c>
      <c r="B11" s="28" t="n">
        <v>2</v>
      </c>
      <c r="C11" s="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2" t="s">
        <v>78</v>
      </c>
      <c r="B2" s="2" t="s">
        <v>79</v>
      </c>
    </row>
    <row r="3" customFormat="false" ht="15" hidden="false" customHeight="false" outlineLevel="0" collapsed="false">
      <c r="A3" s="2" t="s">
        <v>80</v>
      </c>
      <c r="B3" s="2" t="str">
        <f aca="false">IF(Fleet!A5="","",Fleet!A5)</f>
        <v>CAR-01</v>
      </c>
    </row>
    <row r="4" customFormat="false" ht="15" hidden="false" customHeight="false" outlineLevel="0" collapsed="false">
      <c r="A4" s="2" t="s">
        <v>81</v>
      </c>
      <c r="B4" s="2" t="str">
        <f aca="false">IF(Fleet!A6="","",Fleet!A6)</f>
        <v>CAR-02</v>
      </c>
    </row>
    <row r="5" customFormat="false" ht="15" hidden="false" customHeight="false" outlineLevel="0" collapsed="false">
      <c r="A5" s="2" t="s">
        <v>82</v>
      </c>
      <c r="B5" s="2" t="str">
        <f aca="false">IF(Fleet!A7="","",Fleet!A7)</f>
        <v/>
      </c>
    </row>
    <row r="6" customFormat="false" ht="15" hidden="false" customHeight="false" outlineLevel="0" collapsed="false">
      <c r="A6" s="2" t="s">
        <v>83</v>
      </c>
      <c r="B6" s="2" t="str">
        <f aca="false">IF(Fleet!A8="","",Fleet!A8)</f>
        <v/>
      </c>
    </row>
    <row r="7" customFormat="false" ht="15" hidden="false" customHeight="false" outlineLevel="0" collapsed="false">
      <c r="A7" s="2" t="s">
        <v>84</v>
      </c>
      <c r="B7" s="2" t="str">
        <f aca="false">IF(Fleet!A9="","",Fleet!A9)</f>
        <v/>
      </c>
    </row>
    <row r="8" customFormat="false" ht="15" hidden="false" customHeight="false" outlineLevel="0" collapsed="false">
      <c r="A8" s="2" t="s">
        <v>85</v>
      </c>
      <c r="B8" s="2" t="str">
        <f aca="false">IF(Fleet!A10="","",Fleet!A10)</f>
        <v/>
      </c>
    </row>
    <row r="9" customFormat="false" ht="15" hidden="false" customHeight="false" outlineLevel="0" collapsed="false">
      <c r="A9" s="2" t="s">
        <v>86</v>
      </c>
      <c r="B9" s="2" t="str">
        <f aca="false">IF(Fleet!A11="","",Fleet!A11)</f>
        <v/>
      </c>
    </row>
    <row r="10" customFormat="false" ht="15" hidden="false" customHeight="false" outlineLevel="0" collapsed="false">
      <c r="A10" s="2" t="s">
        <v>87</v>
      </c>
      <c r="B10" s="2" t="str">
        <f aca="false">IF(Fleet!A12="","",Fleet!A12)</f>
        <v/>
      </c>
    </row>
    <row r="11" customFormat="false" ht="15" hidden="false" customHeight="false" outlineLevel="0" collapsed="false">
      <c r="A11" s="2" t="s">
        <v>88</v>
      </c>
      <c r="B11" s="2" t="str">
        <f aca="false">IF(Fleet!A13="","",Fleet!A13)</f>
        <v/>
      </c>
    </row>
    <row r="12" customFormat="false" ht="15" hidden="false" customHeight="false" outlineLevel="0" collapsed="false">
      <c r="A12" s="2" t="s">
        <v>89</v>
      </c>
      <c r="B12" s="2" t="str">
        <f aca="false">IF(Fleet!A14="","",Fleet!A14)</f>
        <v/>
      </c>
    </row>
    <row r="13" customFormat="false" ht="15" hidden="false" customHeight="false" outlineLevel="0" collapsed="false">
      <c r="A13" s="2" t="s">
        <v>90</v>
      </c>
      <c r="B13" s="2" t="str">
        <f aca="false">IF(Fleet!A15="","",Fleet!A15)</f>
        <v/>
      </c>
    </row>
    <row r="14" customFormat="false" ht="15" hidden="false" customHeight="false" outlineLevel="0" collapsed="false">
      <c r="A14" s="2"/>
      <c r="B14" s="2" t="str">
        <f aca="false">IF(Fleet!A16="","",Fleet!A16)</f>
        <v/>
      </c>
    </row>
    <row r="15" customFormat="false" ht="15" hidden="false" customHeight="false" outlineLevel="0" collapsed="false">
      <c r="A15" s="2"/>
      <c r="B15" s="2" t="str">
        <f aca="false">IF(Fleet!A17="","",Fleet!A17)</f>
        <v/>
      </c>
    </row>
    <row r="16" customFormat="false" ht="15" hidden="false" customHeight="false" outlineLevel="0" collapsed="false">
      <c r="A16" s="2"/>
      <c r="B16" s="2" t="str">
        <f aca="false">IF(Fleet!A18="","",Fleet!A18)</f>
        <v/>
      </c>
    </row>
    <row r="17" customFormat="false" ht="15" hidden="false" customHeight="false" outlineLevel="0" collapsed="false">
      <c r="A17" s="2"/>
      <c r="B17" s="2" t="str">
        <f aca="false">IF(Fleet!A19="","",Fleet!A19)</f>
        <v/>
      </c>
    </row>
    <row r="18" customFormat="false" ht="15" hidden="false" customHeight="false" outlineLevel="0" collapsed="false">
      <c r="A18" s="2"/>
      <c r="B18" s="2" t="str">
        <f aca="false">IF(Fleet!A20="","",Fleet!A20)</f>
        <v/>
      </c>
    </row>
    <row r="19" customFormat="false" ht="15" hidden="false" customHeight="false" outlineLevel="0" collapsed="false">
      <c r="A19" s="2"/>
      <c r="B19" s="2" t="str">
        <f aca="false">IF(Fleet!A21="","",Fleet!A21)</f>
        <v/>
      </c>
    </row>
    <row r="20" customFormat="false" ht="15" hidden="false" customHeight="false" outlineLevel="0" collapsed="false">
      <c r="A20" s="2"/>
      <c r="B20" s="2" t="str">
        <f aca="false">IF(Fleet!A22="","",Fleet!A22)</f>
        <v/>
      </c>
    </row>
    <row r="21" customFormat="false" ht="15" hidden="false" customHeight="false" outlineLevel="0" collapsed="false">
      <c r="A21" s="2"/>
      <c r="B21" s="2" t="str">
        <f aca="false">IF(Fleet!A23="","",Fleet!A23)</f>
        <v/>
      </c>
    </row>
    <row r="22" customFormat="false" ht="15" hidden="false" customHeight="false" outlineLevel="0" collapsed="false">
      <c r="A22" s="2"/>
      <c r="B22" s="2" t="str">
        <f aca="false">IF(Fleet!A24="","",Fleet!A24)</f>
        <v/>
      </c>
    </row>
    <row r="23" customFormat="false" ht="15" hidden="false" customHeight="false" outlineLevel="0" collapsed="false">
      <c r="A23" s="2"/>
      <c r="B23" s="2" t="str">
        <f aca="false">IF(Fleet!A25="","",Fleet!A25)</f>
        <v/>
      </c>
    </row>
    <row r="24" customFormat="false" ht="15" hidden="false" customHeight="false" outlineLevel="0" collapsed="false">
      <c r="A24" s="2"/>
      <c r="B24" s="2" t="str">
        <f aca="false">IF(Fleet!A26="","",Fleet!A26)</f>
        <v/>
      </c>
    </row>
    <row r="25" customFormat="false" ht="15" hidden="false" customHeight="false" outlineLevel="0" collapsed="false">
      <c r="A25" s="2"/>
      <c r="B25" s="2" t="str">
        <f aca="false">IF(Fleet!A27="","",Fleet!A27)</f>
        <v/>
      </c>
    </row>
    <row r="26" customFormat="false" ht="15" hidden="false" customHeight="false" outlineLevel="0" collapsed="false">
      <c r="A26" s="2"/>
      <c r="B26" s="2" t="str">
        <f aca="false">IF(Fleet!A28="","",Fleet!A28)</f>
        <v/>
      </c>
    </row>
    <row r="27" customFormat="false" ht="15" hidden="false" customHeight="false" outlineLevel="0" collapsed="false">
      <c r="A27" s="2"/>
      <c r="B27" s="2" t="str">
        <f aca="false">IF(Fleet!A29="","",Fleet!A29)</f>
        <v/>
      </c>
    </row>
    <row r="28" customFormat="false" ht="15" hidden="false" customHeight="false" outlineLevel="0" collapsed="false">
      <c r="A28" s="2"/>
      <c r="B28" s="2" t="str">
        <f aca="false">IF(Fleet!A30="","",Fleet!A30)</f>
        <v/>
      </c>
    </row>
    <row r="29" customFormat="false" ht="15" hidden="false" customHeight="false" outlineLevel="0" collapsed="false">
      <c r="A29" s="2"/>
      <c r="B29" s="2" t="str">
        <f aca="false">IF(Fleet!A31="","",Fleet!A31)</f>
        <v/>
      </c>
    </row>
    <row r="30" customFormat="false" ht="15" hidden="false" customHeight="false" outlineLevel="0" collapsed="false">
      <c r="A30" s="2"/>
      <c r="B30" s="2" t="str">
        <f aca="false">IF(Fleet!A32="","",Fleet!A32)</f>
        <v/>
      </c>
    </row>
    <row r="31" customFormat="false" ht="15" hidden="false" customHeight="false" outlineLevel="0" collapsed="false">
      <c r="A31" s="2"/>
      <c r="B31" s="2" t="str">
        <f aca="false">IF(Fleet!A33="","",Fleet!A33)</f>
        <v/>
      </c>
    </row>
    <row r="32" customFormat="false" ht="15" hidden="false" customHeight="false" outlineLevel="0" collapsed="false">
      <c r="A32" s="2"/>
      <c r="B32" s="2" t="str">
        <f aca="false">IF(Fleet!A34="","",Fleet!A34)</f>
        <v/>
      </c>
    </row>
    <row r="33" customFormat="false" ht="15" hidden="false" customHeight="false" outlineLevel="0" collapsed="false">
      <c r="A33" s="2"/>
      <c r="B33" s="2" t="str">
        <f aca="false">IF(Fleet!A35="","",Fleet!A35)</f>
        <v/>
      </c>
    </row>
    <row r="34" customFormat="false" ht="15" hidden="false" customHeight="false" outlineLevel="0" collapsed="false">
      <c r="A34" s="2"/>
      <c r="B34" s="2" t="str">
        <f aca="false">IF(Fleet!A36="","",Fleet!A36)</f>
        <v/>
      </c>
    </row>
    <row r="35" customFormat="false" ht="15" hidden="false" customHeight="false" outlineLevel="0" collapsed="false">
      <c r="A35" s="2"/>
      <c r="B35" s="2" t="str">
        <f aca="false">IF(Fleet!A37="","",Fleet!A37)</f>
        <v/>
      </c>
    </row>
    <row r="36" customFormat="false" ht="15" hidden="false" customHeight="false" outlineLevel="0" collapsed="false">
      <c r="A36" s="2"/>
      <c r="B36" s="2" t="str">
        <f aca="false">IF(Fleet!A38="","",Fleet!A38)</f>
        <v/>
      </c>
    </row>
    <row r="37" customFormat="false" ht="15" hidden="false" customHeight="false" outlineLevel="0" collapsed="false">
      <c r="A37" s="2"/>
      <c r="B37" s="2" t="str">
        <f aca="false">IF(Fleet!A39="","",Fleet!A39)</f>
        <v/>
      </c>
    </row>
    <row r="38" customFormat="false" ht="15" hidden="false" customHeight="false" outlineLevel="0" collapsed="false">
      <c r="A38" s="2"/>
      <c r="B38" s="2" t="str">
        <f aca="false">IF(Fleet!A40="","",Fleet!A40)</f>
        <v/>
      </c>
    </row>
    <row r="39" customFormat="false" ht="15" hidden="false" customHeight="false" outlineLevel="0" collapsed="false">
      <c r="A39" s="2"/>
      <c r="B39" s="2" t="str">
        <f aca="false">IF(Fleet!A41="","",Fleet!A41)</f>
        <v/>
      </c>
    </row>
    <row r="40" customFormat="false" ht="15" hidden="false" customHeight="false" outlineLevel="0" collapsed="false">
      <c r="A40" s="2"/>
      <c r="B40" s="2" t="str">
        <f aca="false">IF(Fleet!A42="","",Fleet!A42)</f>
        <v/>
      </c>
    </row>
    <row r="41" customFormat="false" ht="15" hidden="false" customHeight="false" outlineLevel="0" collapsed="false">
      <c r="A41" s="2"/>
      <c r="B41" s="2" t="str">
        <f aca="false">IF(Fleet!A43="","",Fleet!A43)</f>
        <v/>
      </c>
    </row>
    <row r="42" customFormat="false" ht="15" hidden="false" customHeight="false" outlineLevel="0" collapsed="false">
      <c r="A42" s="2"/>
      <c r="B42" s="2" t="str">
        <f aca="false">IF(Fleet!A44="","",Fleet!A44)</f>
        <v/>
      </c>
    </row>
    <row r="43" customFormat="false" ht="15" hidden="false" customHeight="false" outlineLevel="0" collapsed="false">
      <c r="A43" s="2"/>
      <c r="B43" s="2" t="str">
        <f aca="false">IF(Fleet!A45="","",Fleet!A45)</f>
        <v/>
      </c>
    </row>
    <row r="44" customFormat="false" ht="15" hidden="false" customHeight="false" outlineLevel="0" collapsed="false">
      <c r="A44" s="2"/>
      <c r="B44" s="2" t="str">
        <f aca="false">IF(Fleet!A46="","",Fleet!A46)</f>
        <v/>
      </c>
    </row>
    <row r="45" customFormat="false" ht="15" hidden="false" customHeight="false" outlineLevel="0" collapsed="false">
      <c r="A45" s="2"/>
      <c r="B45" s="2" t="str">
        <f aca="false">IF(Fleet!A47="","",Fleet!A47)</f>
        <v/>
      </c>
    </row>
    <row r="46" customFormat="false" ht="15" hidden="false" customHeight="false" outlineLevel="0" collapsed="false">
      <c r="A46" s="2"/>
      <c r="B46" s="2" t="str">
        <f aca="false">IF(Fleet!A48="","",Fleet!A48)</f>
        <v/>
      </c>
    </row>
    <row r="47" customFormat="false" ht="15" hidden="false" customHeight="false" outlineLevel="0" collapsed="false">
      <c r="A47" s="2"/>
      <c r="B47" s="2" t="str">
        <f aca="false">IF(Fleet!A49="","",Fleet!A49)</f>
        <v/>
      </c>
    </row>
    <row r="48" customFormat="false" ht="15" hidden="false" customHeight="false" outlineLevel="0" collapsed="false">
      <c r="A48" s="2"/>
      <c r="B48" s="2" t="str">
        <f aca="false">IF(Fleet!A50="","",Fleet!A50)</f>
        <v/>
      </c>
    </row>
    <row r="49" customFormat="false" ht="15" hidden="false" customHeight="false" outlineLevel="0" collapsed="false">
      <c r="A49" s="2"/>
      <c r="B49" s="2" t="str">
        <f aca="false">IF(Fleet!A51="","",Fleet!A51)</f>
        <v/>
      </c>
    </row>
    <row r="50" customFormat="false" ht="15" hidden="false" customHeight="false" outlineLevel="0" collapsed="false">
      <c r="A50" s="2"/>
      <c r="B50" s="2" t="str">
        <f aca="false">IF(Fleet!A52="","",Fleet!A52)</f>
        <v/>
      </c>
    </row>
    <row r="51" customFormat="false" ht="15" hidden="false" customHeight="false" outlineLevel="0" collapsed="false">
      <c r="A51" s="2"/>
      <c r="B51" s="2" t="str">
        <f aca="false">IF(Fleet!A53="","",Fleet!A53)</f>
        <v/>
      </c>
    </row>
    <row r="52" customFormat="false" ht="15" hidden="false" customHeight="false" outlineLevel="0" collapsed="false">
      <c r="A52" s="2"/>
      <c r="B52" s="2" t="str">
        <f aca="false">IF(Fleet!A54="","",Fleet!A54)</f>
        <v/>
      </c>
    </row>
    <row r="53" customFormat="false" ht="15" hidden="false" customHeight="false" outlineLevel="0" collapsed="false">
      <c r="A53" s="2"/>
      <c r="B53" s="2" t="str">
        <f aca="false">IF(Fleet!A55="","",Fleet!A55)</f>
        <v/>
      </c>
    </row>
    <row r="54" customFormat="false" ht="15" hidden="false" customHeight="false" outlineLevel="0" collapsed="false">
      <c r="A54" s="2"/>
      <c r="B54" s="2" t="str">
        <f aca="false">IF(Fleet!A56="","",Fleet!A56)</f>
        <v/>
      </c>
    </row>
    <row r="55" customFormat="false" ht="15" hidden="false" customHeight="false" outlineLevel="0" collapsed="false">
      <c r="A55" s="2"/>
      <c r="B55" s="2" t="str">
        <f aca="false">IF(Fleet!A57="","",Fleet!A57)</f>
        <v/>
      </c>
    </row>
    <row r="56" customFormat="false" ht="15" hidden="false" customHeight="false" outlineLevel="0" collapsed="false">
      <c r="A56" s="2"/>
      <c r="B56" s="2" t="str">
        <f aca="false">IF(Fleet!A58="","",Fleet!A58)</f>
        <v/>
      </c>
    </row>
    <row r="57" customFormat="false" ht="15" hidden="false" customHeight="false" outlineLevel="0" collapsed="false">
      <c r="A57" s="2"/>
      <c r="B57" s="2" t="str">
        <f aca="false">IF(Fleet!A59="","",Fleet!A59)</f>
        <v/>
      </c>
    </row>
    <row r="58" customFormat="false" ht="15" hidden="false" customHeight="false" outlineLevel="0" collapsed="false">
      <c r="A58" s="2"/>
      <c r="B58" s="2" t="str">
        <f aca="false">IF(Fleet!A60="","",Fleet!A60)</f>
        <v/>
      </c>
    </row>
    <row r="59" customFormat="false" ht="15" hidden="false" customHeight="false" outlineLevel="0" collapsed="false">
      <c r="A59" s="2"/>
      <c r="B59" s="2" t="str">
        <f aca="false">IF(Fleet!A61="","",Fleet!A61)</f>
        <v/>
      </c>
    </row>
    <row r="60" customFormat="false" ht="15" hidden="false" customHeight="false" outlineLevel="0" collapsed="false">
      <c r="A60" s="2"/>
      <c r="B60" s="2" t="str">
        <f aca="false">IF(Fleet!A62="","",Fleet!A62)</f>
        <v/>
      </c>
    </row>
    <row r="61" customFormat="false" ht="15" hidden="false" customHeight="false" outlineLevel="0" collapsed="false">
      <c r="A61" s="2"/>
      <c r="B61" s="2" t="str">
        <f aca="false">IF(Fleet!A63="","",Fleet!A63)</f>
        <v/>
      </c>
    </row>
    <row r="62" customFormat="false" ht="15" hidden="false" customHeight="false" outlineLevel="0" collapsed="false">
      <c r="A62" s="2"/>
      <c r="B62" s="2" t="str">
        <f aca="false">IF(Fleet!A64="","",Fleet!A64)</f>
        <v/>
      </c>
    </row>
    <row r="63" customFormat="false" ht="15" hidden="false" customHeight="false" outlineLevel="0" collapsed="false">
      <c r="A63" s="2"/>
      <c r="B63" s="2" t="str">
        <f aca="false">IF(Fleet!A65="","",Fleet!A65)</f>
        <v/>
      </c>
    </row>
    <row r="64" customFormat="false" ht="15" hidden="false" customHeight="false" outlineLevel="0" collapsed="false">
      <c r="A64" s="2"/>
      <c r="B64" s="2" t="str">
        <f aca="false">IF(Fleet!A66="","",Fleet!A66)</f>
        <v/>
      </c>
    </row>
    <row r="65" customFormat="false" ht="15" hidden="false" customHeight="false" outlineLevel="0" collapsed="false">
      <c r="A65" s="2"/>
      <c r="B65" s="2" t="str">
        <f aca="false">IF(Fleet!A67="","",Fleet!A67)</f>
        <v/>
      </c>
    </row>
    <row r="66" customFormat="false" ht="15" hidden="false" customHeight="false" outlineLevel="0" collapsed="false">
      <c r="A66" s="2"/>
      <c r="B66" s="2" t="str">
        <f aca="false">IF(Fleet!A68="","",Fleet!A68)</f>
        <v/>
      </c>
    </row>
    <row r="67" customFormat="false" ht="15" hidden="false" customHeight="false" outlineLevel="0" collapsed="false">
      <c r="A67" s="2"/>
      <c r="B67" s="2" t="str">
        <f aca="false">IF(Fleet!A69="","",Fleet!A69)</f>
        <v/>
      </c>
    </row>
    <row r="68" customFormat="false" ht="15" hidden="false" customHeight="false" outlineLevel="0" collapsed="false">
      <c r="A68" s="2"/>
      <c r="B68" s="2" t="str">
        <f aca="false">IF(Fleet!A70="","",Fleet!A70)</f>
        <v/>
      </c>
    </row>
    <row r="69" customFormat="false" ht="15" hidden="false" customHeight="false" outlineLevel="0" collapsed="false">
      <c r="A69" s="2"/>
      <c r="B69" s="2" t="str">
        <f aca="false">IF(Fleet!A71="","",Fleet!A71)</f>
        <v/>
      </c>
    </row>
    <row r="70" customFormat="false" ht="15" hidden="false" customHeight="false" outlineLevel="0" collapsed="false">
      <c r="A70" s="2"/>
      <c r="B70" s="2" t="str">
        <f aca="false">IF(Fleet!A72="","",Fleet!A72)</f>
        <v/>
      </c>
    </row>
    <row r="71" customFormat="false" ht="15" hidden="false" customHeight="false" outlineLevel="0" collapsed="false">
      <c r="A71" s="2"/>
      <c r="B71" s="2" t="str">
        <f aca="false">IF(Fleet!A73="","",Fleet!A73)</f>
        <v/>
      </c>
    </row>
    <row r="72" customFormat="false" ht="15" hidden="false" customHeight="false" outlineLevel="0" collapsed="false">
      <c r="A72" s="2"/>
      <c r="B72" s="2" t="str">
        <f aca="false">IF(Fleet!A74="","",Fleet!A74)</f>
        <v/>
      </c>
    </row>
    <row r="73" customFormat="false" ht="15" hidden="false" customHeight="false" outlineLevel="0" collapsed="false">
      <c r="A73" s="2"/>
      <c r="B73" s="2" t="str">
        <f aca="false">IF(Fleet!A75="","",Fleet!A75)</f>
        <v/>
      </c>
    </row>
    <row r="74" customFormat="false" ht="15" hidden="false" customHeight="false" outlineLevel="0" collapsed="false">
      <c r="A74" s="2"/>
      <c r="B74" s="2" t="str">
        <f aca="false">IF(Fleet!A76="","",Fleet!A76)</f>
        <v/>
      </c>
    </row>
    <row r="75" customFormat="false" ht="15" hidden="false" customHeight="false" outlineLevel="0" collapsed="false">
      <c r="A75" s="2"/>
      <c r="B75" s="2" t="str">
        <f aca="false">IF(Fleet!A77="","",Fleet!A77)</f>
        <v/>
      </c>
    </row>
    <row r="76" customFormat="false" ht="15" hidden="false" customHeight="false" outlineLevel="0" collapsed="false">
      <c r="A76" s="2"/>
      <c r="B76" s="2" t="str">
        <f aca="false">IF(Fleet!A78="","",Fleet!A78)</f>
        <v/>
      </c>
    </row>
    <row r="77" customFormat="false" ht="15" hidden="false" customHeight="false" outlineLevel="0" collapsed="false">
      <c r="A77" s="2"/>
      <c r="B77" s="2" t="str">
        <f aca="false">IF(Fleet!A79="","",Fleet!A79)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1.5" hidden="false" customHeight="true" outlineLevel="0" collapsed="false">
      <c r="A4" s="13" t="s">
        <v>93</v>
      </c>
      <c r="B4" s="13" t="s">
        <v>94</v>
      </c>
      <c r="C4" s="13" t="s">
        <v>95</v>
      </c>
      <c r="D4" s="13" t="s">
        <v>96</v>
      </c>
      <c r="E4" s="13" t="s">
        <v>97</v>
      </c>
      <c r="F4" s="13" t="s">
        <v>98</v>
      </c>
      <c r="G4" s="13" t="s">
        <v>99</v>
      </c>
      <c r="H4" s="13" t="s">
        <v>100</v>
      </c>
      <c r="I4" s="13" t="s">
        <v>101</v>
      </c>
      <c r="J4" s="13" t="s">
        <v>102</v>
      </c>
      <c r="K4" s="13" t="s">
        <v>103</v>
      </c>
      <c r="L4" s="13" t="s">
        <v>104</v>
      </c>
      <c r="M4" s="13" t="s">
        <v>105</v>
      </c>
      <c r="N4" s="13" t="s">
        <v>106</v>
      </c>
      <c r="O4" s="13" t="s">
        <v>107</v>
      </c>
      <c r="P4" s="13" t="s">
        <v>108</v>
      </c>
    </row>
    <row r="5" customFormat="false" ht="15" hidden="false" customHeight="false" outlineLevel="0" collapsed="false">
      <c r="A5" s="29" t="s">
        <v>109</v>
      </c>
      <c r="B5" s="30" t="n">
        <v>2022</v>
      </c>
      <c r="C5" s="29" t="s">
        <v>110</v>
      </c>
      <c r="D5" s="29" t="s">
        <v>111</v>
      </c>
      <c r="E5" s="31" t="n">
        <v>46327</v>
      </c>
      <c r="F5" s="31"/>
      <c r="G5" s="32" t="n">
        <v>18500</v>
      </c>
      <c r="H5" s="32" t="n">
        <v>3700</v>
      </c>
      <c r="I5" s="32" t="n">
        <v>295</v>
      </c>
      <c r="J5" s="32" t="n">
        <v>110</v>
      </c>
      <c r="K5" s="32" t="n">
        <v>240</v>
      </c>
      <c r="L5" s="32" t="n">
        <v>25</v>
      </c>
      <c r="M5" s="32" t="n">
        <v>0</v>
      </c>
      <c r="N5" s="33" t="n">
        <v>0.8</v>
      </c>
      <c r="O5" s="34" t="n">
        <f aca="false">IF(A5="",0,N(I5)+N(J5)+N(K5)/12+N(L5)+N(M5))</f>
        <v>450</v>
      </c>
      <c r="P5" s="29" t="s">
        <v>112</v>
      </c>
    </row>
    <row r="6" customFormat="false" ht="15" hidden="false" customHeight="false" outlineLevel="0" collapsed="false">
      <c r="A6" s="29" t="s">
        <v>113</v>
      </c>
      <c r="B6" s="30" t="n">
        <v>2021</v>
      </c>
      <c r="C6" s="29" t="s">
        <v>114</v>
      </c>
      <c r="D6" s="29" t="s">
        <v>111</v>
      </c>
      <c r="E6" s="31" t="n">
        <v>46341</v>
      </c>
      <c r="F6" s="31"/>
      <c r="G6" s="32" t="n">
        <v>24000</v>
      </c>
      <c r="H6" s="32" t="n">
        <v>6000</v>
      </c>
      <c r="I6" s="32" t="n">
        <v>335</v>
      </c>
      <c r="J6" s="32" t="n">
        <v>130</v>
      </c>
      <c r="K6" s="32" t="n">
        <v>300</v>
      </c>
      <c r="L6" s="32" t="n">
        <v>25</v>
      </c>
      <c r="M6" s="32" t="n">
        <v>0</v>
      </c>
      <c r="N6" s="33" t="n">
        <v>0.8</v>
      </c>
      <c r="O6" s="34" t="n">
        <f aca="false">IF(A6="",0,N(I6)+N(J6)+N(K6)/12+N(L6)+N(M6))</f>
        <v>515</v>
      </c>
      <c r="P6" s="29" t="s">
        <v>112</v>
      </c>
    </row>
    <row r="7" customFormat="false" ht="15" hidden="false" customHeight="false" outlineLevel="0" collapsed="false">
      <c r="A7" s="29"/>
      <c r="B7" s="30"/>
      <c r="C7" s="29"/>
      <c r="D7" s="29"/>
      <c r="E7" s="31"/>
      <c r="F7" s="31"/>
      <c r="G7" s="32"/>
      <c r="H7" s="32"/>
      <c r="I7" s="32"/>
      <c r="J7" s="32"/>
      <c r="K7" s="32"/>
      <c r="L7" s="32"/>
      <c r="M7" s="32"/>
      <c r="N7" s="33"/>
      <c r="O7" s="34" t="n">
        <f aca="false">IF(A7="",0,N(I7)+N(J7)+N(K7)/12+N(L7)+N(M7))</f>
        <v>0</v>
      </c>
      <c r="P7" s="29"/>
    </row>
    <row r="8" customFormat="false" ht="15" hidden="false" customHeight="false" outlineLevel="0" collapsed="false">
      <c r="A8" s="29"/>
      <c r="B8" s="30"/>
      <c r="C8" s="29"/>
      <c r="D8" s="29"/>
      <c r="E8" s="31"/>
      <c r="F8" s="31"/>
      <c r="G8" s="32"/>
      <c r="H8" s="32"/>
      <c r="I8" s="32"/>
      <c r="J8" s="32"/>
      <c r="K8" s="32"/>
      <c r="L8" s="32"/>
      <c r="M8" s="32"/>
      <c r="N8" s="33"/>
      <c r="O8" s="34" t="n">
        <f aca="false">IF(A8="",0,N(I8)+N(J8)+N(K8)/12+N(L8)+N(M8))</f>
        <v>0</v>
      </c>
      <c r="P8" s="29"/>
    </row>
    <row r="9" customFormat="false" ht="15" hidden="false" customHeight="false" outlineLevel="0" collapsed="false">
      <c r="A9" s="29"/>
      <c r="B9" s="30"/>
      <c r="C9" s="29"/>
      <c r="D9" s="29"/>
      <c r="E9" s="31"/>
      <c r="F9" s="31"/>
      <c r="G9" s="32"/>
      <c r="H9" s="32"/>
      <c r="I9" s="32"/>
      <c r="J9" s="32"/>
      <c r="K9" s="32"/>
      <c r="L9" s="32"/>
      <c r="M9" s="32"/>
      <c r="N9" s="33"/>
      <c r="O9" s="34" t="n">
        <f aca="false">IF(A9="",0,N(I9)+N(J9)+N(K9)/12+N(L9)+N(M9))</f>
        <v>0</v>
      </c>
      <c r="P9" s="29"/>
    </row>
    <row r="10" customFormat="false" ht="15" hidden="false" customHeight="false" outlineLevel="0" collapsed="false">
      <c r="A10" s="29"/>
      <c r="B10" s="30"/>
      <c r="C10" s="29"/>
      <c r="D10" s="29"/>
      <c r="E10" s="31"/>
      <c r="F10" s="31"/>
      <c r="G10" s="32"/>
      <c r="H10" s="32"/>
      <c r="I10" s="32"/>
      <c r="J10" s="32"/>
      <c r="K10" s="32"/>
      <c r="L10" s="32"/>
      <c r="M10" s="32"/>
      <c r="N10" s="33"/>
      <c r="O10" s="34" t="n">
        <f aca="false">IF(A10="",0,N(I10)+N(J10)+N(K10)/12+N(L10)+N(M10))</f>
        <v>0</v>
      </c>
      <c r="P10" s="29"/>
    </row>
    <row r="11" customFormat="false" ht="15" hidden="false" customHeight="false" outlineLevel="0" collapsed="false">
      <c r="A11" s="29"/>
      <c r="B11" s="30"/>
      <c r="C11" s="29"/>
      <c r="D11" s="29"/>
      <c r="E11" s="31"/>
      <c r="F11" s="31"/>
      <c r="G11" s="32"/>
      <c r="H11" s="32"/>
      <c r="I11" s="32"/>
      <c r="J11" s="32"/>
      <c r="K11" s="32"/>
      <c r="L11" s="32"/>
      <c r="M11" s="32"/>
      <c r="N11" s="33"/>
      <c r="O11" s="34" t="n">
        <f aca="false">IF(A11="",0,N(I11)+N(J11)+N(K11)/12+N(L11)+N(M11))</f>
        <v>0</v>
      </c>
      <c r="P11" s="29"/>
    </row>
    <row r="12" customFormat="false" ht="15" hidden="false" customHeight="false" outlineLevel="0" collapsed="false">
      <c r="A12" s="29"/>
      <c r="B12" s="30"/>
      <c r="C12" s="29"/>
      <c r="D12" s="29"/>
      <c r="E12" s="31"/>
      <c r="F12" s="31"/>
      <c r="G12" s="32"/>
      <c r="H12" s="32"/>
      <c r="I12" s="32"/>
      <c r="J12" s="32"/>
      <c r="K12" s="32"/>
      <c r="L12" s="32"/>
      <c r="M12" s="32"/>
      <c r="N12" s="33"/>
      <c r="O12" s="34" t="n">
        <f aca="false">IF(A12="",0,N(I12)+N(J12)+N(K12)/12+N(L12)+N(M12))</f>
        <v>0</v>
      </c>
      <c r="P12" s="29"/>
    </row>
    <row r="13" customFormat="false" ht="15" hidden="false" customHeight="false" outlineLevel="0" collapsed="false">
      <c r="A13" s="29"/>
      <c r="B13" s="30"/>
      <c r="C13" s="29"/>
      <c r="D13" s="29"/>
      <c r="E13" s="31"/>
      <c r="F13" s="31"/>
      <c r="G13" s="32"/>
      <c r="H13" s="32"/>
      <c r="I13" s="32"/>
      <c r="J13" s="32"/>
      <c r="K13" s="32"/>
      <c r="L13" s="32"/>
      <c r="M13" s="32"/>
      <c r="N13" s="33"/>
      <c r="O13" s="34" t="n">
        <f aca="false">IF(A13="",0,N(I13)+N(J13)+N(K13)/12+N(L13)+N(M13))</f>
        <v>0</v>
      </c>
      <c r="P13" s="29"/>
    </row>
    <row r="14" customFormat="false" ht="15" hidden="false" customHeight="false" outlineLevel="0" collapsed="false">
      <c r="A14" s="29"/>
      <c r="B14" s="30"/>
      <c r="C14" s="29"/>
      <c r="D14" s="29"/>
      <c r="E14" s="31"/>
      <c r="F14" s="31"/>
      <c r="G14" s="32"/>
      <c r="H14" s="32"/>
      <c r="I14" s="32"/>
      <c r="J14" s="32"/>
      <c r="K14" s="32"/>
      <c r="L14" s="32"/>
      <c r="M14" s="32"/>
      <c r="N14" s="33"/>
      <c r="O14" s="34" t="n">
        <f aca="false">IF(A14="",0,N(I14)+N(J14)+N(K14)/12+N(L14)+N(M14))</f>
        <v>0</v>
      </c>
      <c r="P14" s="29"/>
    </row>
    <row r="15" customFormat="false" ht="15" hidden="false" customHeight="false" outlineLevel="0" collapsed="false">
      <c r="A15" s="29"/>
      <c r="B15" s="30"/>
      <c r="C15" s="29"/>
      <c r="D15" s="29"/>
      <c r="E15" s="31"/>
      <c r="F15" s="31"/>
      <c r="G15" s="32"/>
      <c r="H15" s="32"/>
      <c r="I15" s="32"/>
      <c r="J15" s="32"/>
      <c r="K15" s="32"/>
      <c r="L15" s="32"/>
      <c r="M15" s="32"/>
      <c r="N15" s="33"/>
      <c r="O15" s="34" t="n">
        <f aca="false">IF(A15="",0,N(I15)+N(J15)+N(K15)/12+N(L15)+N(M15))</f>
        <v>0</v>
      </c>
      <c r="P15" s="29"/>
    </row>
    <row r="16" customFormat="false" ht="15" hidden="false" customHeight="false" outlineLevel="0" collapsed="false">
      <c r="A16" s="29"/>
      <c r="B16" s="30"/>
      <c r="C16" s="29"/>
      <c r="D16" s="29"/>
      <c r="E16" s="31"/>
      <c r="F16" s="31"/>
      <c r="G16" s="32"/>
      <c r="H16" s="32"/>
      <c r="I16" s="32"/>
      <c r="J16" s="32"/>
      <c r="K16" s="32"/>
      <c r="L16" s="32"/>
      <c r="M16" s="32"/>
      <c r="N16" s="33"/>
      <c r="O16" s="34" t="n">
        <f aca="false">IF(A16="",0,N(I16)+N(J16)+N(K16)/12+N(L16)+N(M16))</f>
        <v>0</v>
      </c>
      <c r="P16" s="29"/>
    </row>
    <row r="17" customFormat="false" ht="15" hidden="false" customHeight="false" outlineLevel="0" collapsed="false">
      <c r="A17" s="29"/>
      <c r="B17" s="30"/>
      <c r="C17" s="29"/>
      <c r="D17" s="29"/>
      <c r="E17" s="31"/>
      <c r="F17" s="31"/>
      <c r="G17" s="32"/>
      <c r="H17" s="32"/>
      <c r="I17" s="32"/>
      <c r="J17" s="32"/>
      <c r="K17" s="32"/>
      <c r="L17" s="32"/>
      <c r="M17" s="32"/>
      <c r="N17" s="33"/>
      <c r="O17" s="34" t="n">
        <f aca="false">IF(A17="",0,N(I17)+N(J17)+N(K17)/12+N(L17)+N(M17))</f>
        <v>0</v>
      </c>
      <c r="P17" s="29"/>
    </row>
    <row r="18" customFormat="false" ht="15" hidden="false" customHeight="false" outlineLevel="0" collapsed="false">
      <c r="A18" s="29"/>
      <c r="B18" s="30"/>
      <c r="C18" s="29"/>
      <c r="D18" s="29"/>
      <c r="E18" s="31"/>
      <c r="F18" s="31"/>
      <c r="G18" s="32"/>
      <c r="H18" s="32"/>
      <c r="I18" s="32"/>
      <c r="J18" s="32"/>
      <c r="K18" s="32"/>
      <c r="L18" s="32"/>
      <c r="M18" s="32"/>
      <c r="N18" s="33"/>
      <c r="O18" s="34" t="n">
        <f aca="false">IF(A18="",0,N(I18)+N(J18)+N(K18)/12+N(L18)+N(M18))</f>
        <v>0</v>
      </c>
      <c r="P18" s="29"/>
    </row>
    <row r="19" customFormat="false" ht="15" hidden="false" customHeight="false" outlineLevel="0" collapsed="false">
      <c r="A19" s="29"/>
      <c r="B19" s="30"/>
      <c r="C19" s="29"/>
      <c r="D19" s="29"/>
      <c r="E19" s="31"/>
      <c r="F19" s="31"/>
      <c r="G19" s="32"/>
      <c r="H19" s="32"/>
      <c r="I19" s="32"/>
      <c r="J19" s="32"/>
      <c r="K19" s="32"/>
      <c r="L19" s="32"/>
      <c r="M19" s="32"/>
      <c r="N19" s="33"/>
      <c r="O19" s="34" t="n">
        <f aca="false">IF(A19="",0,N(I19)+N(J19)+N(K19)/12+N(L19)+N(M19))</f>
        <v>0</v>
      </c>
      <c r="P19" s="29"/>
    </row>
    <row r="20" customFormat="false" ht="15" hidden="false" customHeight="false" outlineLevel="0" collapsed="false">
      <c r="A20" s="29"/>
      <c r="B20" s="30"/>
      <c r="C20" s="29"/>
      <c r="D20" s="29"/>
      <c r="E20" s="31"/>
      <c r="F20" s="31"/>
      <c r="G20" s="32"/>
      <c r="H20" s="32"/>
      <c r="I20" s="32"/>
      <c r="J20" s="32"/>
      <c r="K20" s="32"/>
      <c r="L20" s="32"/>
      <c r="M20" s="32"/>
      <c r="N20" s="33"/>
      <c r="O20" s="34" t="n">
        <f aca="false">IF(A20="",0,N(I20)+N(J20)+N(K20)/12+N(L20)+N(M20))</f>
        <v>0</v>
      </c>
      <c r="P20" s="29"/>
    </row>
    <row r="21" customFormat="false" ht="15" hidden="false" customHeight="false" outlineLevel="0" collapsed="false">
      <c r="A21" s="29"/>
      <c r="B21" s="30"/>
      <c r="C21" s="29"/>
      <c r="D21" s="29"/>
      <c r="E21" s="31"/>
      <c r="F21" s="31"/>
      <c r="G21" s="32"/>
      <c r="H21" s="32"/>
      <c r="I21" s="32"/>
      <c r="J21" s="32"/>
      <c r="K21" s="32"/>
      <c r="L21" s="32"/>
      <c r="M21" s="32"/>
      <c r="N21" s="33"/>
      <c r="O21" s="34" t="n">
        <f aca="false">IF(A21="",0,N(I21)+N(J21)+N(K21)/12+N(L21)+N(M21))</f>
        <v>0</v>
      </c>
      <c r="P21" s="29"/>
    </row>
    <row r="22" customFormat="false" ht="15" hidden="false" customHeight="false" outlineLevel="0" collapsed="false">
      <c r="A22" s="29"/>
      <c r="B22" s="30"/>
      <c r="C22" s="29"/>
      <c r="D22" s="29"/>
      <c r="E22" s="31"/>
      <c r="F22" s="31"/>
      <c r="G22" s="32"/>
      <c r="H22" s="32"/>
      <c r="I22" s="32"/>
      <c r="J22" s="32"/>
      <c r="K22" s="32"/>
      <c r="L22" s="32"/>
      <c r="M22" s="32"/>
      <c r="N22" s="33"/>
      <c r="O22" s="34" t="n">
        <f aca="false">IF(A22="",0,N(I22)+N(J22)+N(K22)/12+N(L22)+N(M22))</f>
        <v>0</v>
      </c>
      <c r="P22" s="29"/>
    </row>
    <row r="23" customFormat="false" ht="15" hidden="false" customHeight="false" outlineLevel="0" collapsed="false">
      <c r="A23" s="29"/>
      <c r="B23" s="30"/>
      <c r="C23" s="29"/>
      <c r="D23" s="29"/>
      <c r="E23" s="31"/>
      <c r="F23" s="31"/>
      <c r="G23" s="32"/>
      <c r="H23" s="32"/>
      <c r="I23" s="32"/>
      <c r="J23" s="32"/>
      <c r="K23" s="32"/>
      <c r="L23" s="32"/>
      <c r="M23" s="32"/>
      <c r="N23" s="33"/>
      <c r="O23" s="34" t="n">
        <f aca="false">IF(A23="",0,N(I23)+N(J23)+N(K23)/12+N(L23)+N(M23))</f>
        <v>0</v>
      </c>
      <c r="P23" s="29"/>
    </row>
    <row r="24" customFormat="false" ht="15" hidden="false" customHeight="false" outlineLevel="0" collapsed="false">
      <c r="A24" s="29"/>
      <c r="B24" s="30"/>
      <c r="C24" s="29"/>
      <c r="D24" s="29"/>
      <c r="E24" s="31"/>
      <c r="F24" s="31"/>
      <c r="G24" s="32"/>
      <c r="H24" s="32"/>
      <c r="I24" s="32"/>
      <c r="J24" s="32"/>
      <c r="K24" s="32"/>
      <c r="L24" s="32"/>
      <c r="M24" s="32"/>
      <c r="N24" s="33"/>
      <c r="O24" s="34" t="n">
        <f aca="false">IF(A24="",0,N(I24)+N(J24)+N(K24)/12+N(L24)+N(M24))</f>
        <v>0</v>
      </c>
      <c r="P24" s="29"/>
    </row>
    <row r="25" customFormat="false" ht="15" hidden="false" customHeight="false" outlineLevel="0" collapsed="false">
      <c r="A25" s="29"/>
      <c r="B25" s="30"/>
      <c r="C25" s="29"/>
      <c r="D25" s="29"/>
      <c r="E25" s="31"/>
      <c r="F25" s="31"/>
      <c r="G25" s="32"/>
      <c r="H25" s="32"/>
      <c r="I25" s="32"/>
      <c r="J25" s="32"/>
      <c r="K25" s="32"/>
      <c r="L25" s="32"/>
      <c r="M25" s="32"/>
      <c r="N25" s="33"/>
      <c r="O25" s="34" t="n">
        <f aca="false">IF(A25="",0,N(I25)+N(J25)+N(K25)/12+N(L25)+N(M25))</f>
        <v>0</v>
      </c>
      <c r="P25" s="29"/>
    </row>
    <row r="26" customFormat="false" ht="15" hidden="false" customHeight="false" outlineLevel="0" collapsed="false">
      <c r="A26" s="29"/>
      <c r="B26" s="30"/>
      <c r="C26" s="29"/>
      <c r="D26" s="29"/>
      <c r="E26" s="31"/>
      <c r="F26" s="31"/>
      <c r="G26" s="32"/>
      <c r="H26" s="32"/>
      <c r="I26" s="32"/>
      <c r="J26" s="32"/>
      <c r="K26" s="32"/>
      <c r="L26" s="32"/>
      <c r="M26" s="32"/>
      <c r="N26" s="33"/>
      <c r="O26" s="34" t="n">
        <f aca="false">IF(A26="",0,N(I26)+N(J26)+N(K26)/12+N(L26)+N(M26))</f>
        <v>0</v>
      </c>
      <c r="P26" s="29"/>
    </row>
    <row r="27" customFormat="false" ht="15" hidden="false" customHeight="false" outlineLevel="0" collapsed="false">
      <c r="A27" s="29"/>
      <c r="B27" s="30"/>
      <c r="C27" s="29"/>
      <c r="D27" s="29"/>
      <c r="E27" s="31"/>
      <c r="F27" s="31"/>
      <c r="G27" s="32"/>
      <c r="H27" s="32"/>
      <c r="I27" s="32"/>
      <c r="J27" s="32"/>
      <c r="K27" s="32"/>
      <c r="L27" s="32"/>
      <c r="M27" s="32"/>
      <c r="N27" s="33"/>
      <c r="O27" s="34" t="n">
        <f aca="false">IF(A27="",0,N(I27)+N(J27)+N(K27)/12+N(L27)+N(M27))</f>
        <v>0</v>
      </c>
      <c r="P27" s="29"/>
    </row>
    <row r="28" customFormat="false" ht="15" hidden="false" customHeight="false" outlineLevel="0" collapsed="false">
      <c r="A28" s="29"/>
      <c r="B28" s="30"/>
      <c r="C28" s="29"/>
      <c r="D28" s="29"/>
      <c r="E28" s="31"/>
      <c r="F28" s="31"/>
      <c r="G28" s="32"/>
      <c r="H28" s="32"/>
      <c r="I28" s="32"/>
      <c r="J28" s="32"/>
      <c r="K28" s="32"/>
      <c r="L28" s="32"/>
      <c r="M28" s="32"/>
      <c r="N28" s="33"/>
      <c r="O28" s="34" t="n">
        <f aca="false">IF(A28="",0,N(I28)+N(J28)+N(K28)/12+N(L28)+N(M28))</f>
        <v>0</v>
      </c>
      <c r="P28" s="29"/>
    </row>
    <row r="29" customFormat="false" ht="15" hidden="false" customHeight="false" outlineLevel="0" collapsed="false">
      <c r="A29" s="29"/>
      <c r="B29" s="30"/>
      <c r="C29" s="29"/>
      <c r="D29" s="29"/>
      <c r="E29" s="31"/>
      <c r="F29" s="31"/>
      <c r="G29" s="32"/>
      <c r="H29" s="32"/>
      <c r="I29" s="32"/>
      <c r="J29" s="32"/>
      <c r="K29" s="32"/>
      <c r="L29" s="32"/>
      <c r="M29" s="32"/>
      <c r="N29" s="33"/>
      <c r="O29" s="34" t="n">
        <f aca="false">IF(A29="",0,N(I29)+N(J29)+N(K29)/12+N(L29)+N(M29))</f>
        <v>0</v>
      </c>
      <c r="P29" s="29"/>
    </row>
    <row r="30" customFormat="false" ht="15" hidden="false" customHeight="false" outlineLevel="0" collapsed="false">
      <c r="A30" s="29"/>
      <c r="B30" s="30"/>
      <c r="C30" s="29"/>
      <c r="D30" s="29"/>
      <c r="E30" s="31"/>
      <c r="F30" s="31"/>
      <c r="G30" s="32"/>
      <c r="H30" s="32"/>
      <c r="I30" s="32"/>
      <c r="J30" s="32"/>
      <c r="K30" s="32"/>
      <c r="L30" s="32"/>
      <c r="M30" s="32"/>
      <c r="N30" s="33"/>
      <c r="O30" s="34" t="n">
        <f aca="false">IF(A30="",0,N(I30)+N(J30)+N(K30)/12+N(L30)+N(M30))</f>
        <v>0</v>
      </c>
      <c r="P30" s="29"/>
    </row>
    <row r="31" customFormat="false" ht="15" hidden="false" customHeight="false" outlineLevel="0" collapsed="false">
      <c r="A31" s="29"/>
      <c r="B31" s="30"/>
      <c r="C31" s="29"/>
      <c r="D31" s="29"/>
      <c r="E31" s="31"/>
      <c r="F31" s="31"/>
      <c r="G31" s="32"/>
      <c r="H31" s="32"/>
      <c r="I31" s="32"/>
      <c r="J31" s="32"/>
      <c r="K31" s="32"/>
      <c r="L31" s="32"/>
      <c r="M31" s="32"/>
      <c r="N31" s="33"/>
      <c r="O31" s="34" t="n">
        <f aca="false">IF(A31="",0,N(I31)+N(J31)+N(K31)/12+N(L31)+N(M31))</f>
        <v>0</v>
      </c>
      <c r="P31" s="29"/>
    </row>
    <row r="32" customFormat="false" ht="15" hidden="false" customHeight="false" outlineLevel="0" collapsed="false">
      <c r="A32" s="29"/>
      <c r="B32" s="30"/>
      <c r="C32" s="29"/>
      <c r="D32" s="29"/>
      <c r="E32" s="31"/>
      <c r="F32" s="31"/>
      <c r="G32" s="32"/>
      <c r="H32" s="32"/>
      <c r="I32" s="32"/>
      <c r="J32" s="32"/>
      <c r="K32" s="32"/>
      <c r="L32" s="32"/>
      <c r="M32" s="32"/>
      <c r="N32" s="33"/>
      <c r="O32" s="34" t="n">
        <f aca="false">IF(A32="",0,N(I32)+N(J32)+N(K32)/12+N(L32)+N(M32))</f>
        <v>0</v>
      </c>
      <c r="P32" s="29"/>
    </row>
    <row r="33" customFormat="false" ht="15" hidden="false" customHeight="false" outlineLevel="0" collapsed="false">
      <c r="A33" s="29"/>
      <c r="B33" s="30"/>
      <c r="C33" s="29"/>
      <c r="D33" s="29"/>
      <c r="E33" s="31"/>
      <c r="F33" s="31"/>
      <c r="G33" s="32"/>
      <c r="H33" s="32"/>
      <c r="I33" s="32"/>
      <c r="J33" s="32"/>
      <c r="K33" s="32"/>
      <c r="L33" s="32"/>
      <c r="M33" s="32"/>
      <c r="N33" s="33"/>
      <c r="O33" s="34" t="n">
        <f aca="false">IF(A33="",0,N(I33)+N(J33)+N(K33)/12+N(L33)+N(M33))</f>
        <v>0</v>
      </c>
      <c r="P33" s="29"/>
    </row>
    <row r="34" customFormat="false" ht="15" hidden="false" customHeight="false" outlineLevel="0" collapsed="false">
      <c r="A34" s="29"/>
      <c r="B34" s="30"/>
      <c r="C34" s="29"/>
      <c r="D34" s="29"/>
      <c r="E34" s="31"/>
      <c r="F34" s="31"/>
      <c r="G34" s="32"/>
      <c r="H34" s="32"/>
      <c r="I34" s="32"/>
      <c r="J34" s="32"/>
      <c r="K34" s="32"/>
      <c r="L34" s="32"/>
      <c r="M34" s="32"/>
      <c r="N34" s="33"/>
      <c r="O34" s="34" t="n">
        <f aca="false">IF(A34="",0,N(I34)+N(J34)+N(K34)/12+N(L34)+N(M34))</f>
        <v>0</v>
      </c>
      <c r="P34" s="29"/>
    </row>
    <row r="35" customFormat="false" ht="15" hidden="false" customHeight="false" outlineLevel="0" collapsed="false">
      <c r="A35" s="29"/>
      <c r="B35" s="30"/>
      <c r="C35" s="29"/>
      <c r="D35" s="29"/>
      <c r="E35" s="31"/>
      <c r="F35" s="31"/>
      <c r="G35" s="32"/>
      <c r="H35" s="32"/>
      <c r="I35" s="32"/>
      <c r="J35" s="32"/>
      <c r="K35" s="32"/>
      <c r="L35" s="32"/>
      <c r="M35" s="32"/>
      <c r="N35" s="33"/>
      <c r="O35" s="34" t="n">
        <f aca="false">IF(A35="",0,N(I35)+N(J35)+N(K35)/12+N(L35)+N(M35))</f>
        <v>0</v>
      </c>
      <c r="P35" s="29"/>
    </row>
    <row r="36" customFormat="false" ht="15" hidden="false" customHeight="false" outlineLevel="0" collapsed="false">
      <c r="A36" s="29"/>
      <c r="B36" s="30"/>
      <c r="C36" s="29"/>
      <c r="D36" s="29"/>
      <c r="E36" s="31"/>
      <c r="F36" s="31"/>
      <c r="G36" s="32"/>
      <c r="H36" s="32"/>
      <c r="I36" s="32"/>
      <c r="J36" s="32"/>
      <c r="K36" s="32"/>
      <c r="L36" s="32"/>
      <c r="M36" s="32"/>
      <c r="N36" s="33"/>
      <c r="O36" s="34" t="n">
        <f aca="false">IF(A36="",0,N(I36)+N(J36)+N(K36)/12+N(L36)+N(M36))</f>
        <v>0</v>
      </c>
      <c r="P36" s="29"/>
    </row>
    <row r="37" customFormat="false" ht="15" hidden="false" customHeight="false" outlineLevel="0" collapsed="false">
      <c r="A37" s="29"/>
      <c r="B37" s="30"/>
      <c r="C37" s="29"/>
      <c r="D37" s="29"/>
      <c r="E37" s="31"/>
      <c r="F37" s="31"/>
      <c r="G37" s="32"/>
      <c r="H37" s="32"/>
      <c r="I37" s="32"/>
      <c r="J37" s="32"/>
      <c r="K37" s="32"/>
      <c r="L37" s="32"/>
      <c r="M37" s="32"/>
      <c r="N37" s="33"/>
      <c r="O37" s="34" t="n">
        <f aca="false">IF(A37="",0,N(I37)+N(J37)+N(K37)/12+N(L37)+N(M37))</f>
        <v>0</v>
      </c>
      <c r="P37" s="29"/>
    </row>
    <row r="38" customFormat="false" ht="15" hidden="false" customHeight="false" outlineLevel="0" collapsed="false">
      <c r="A38" s="29"/>
      <c r="B38" s="30"/>
      <c r="C38" s="29"/>
      <c r="D38" s="29"/>
      <c r="E38" s="31"/>
      <c r="F38" s="31"/>
      <c r="G38" s="32"/>
      <c r="H38" s="32"/>
      <c r="I38" s="32"/>
      <c r="J38" s="32"/>
      <c r="K38" s="32"/>
      <c r="L38" s="32"/>
      <c r="M38" s="32"/>
      <c r="N38" s="33"/>
      <c r="O38" s="34" t="n">
        <f aca="false">IF(A38="",0,N(I38)+N(J38)+N(K38)/12+N(L38)+N(M38))</f>
        <v>0</v>
      </c>
      <c r="P38" s="29"/>
    </row>
    <row r="39" customFormat="false" ht="15" hidden="false" customHeight="false" outlineLevel="0" collapsed="false">
      <c r="A39" s="29"/>
      <c r="B39" s="30"/>
      <c r="C39" s="29"/>
      <c r="D39" s="29"/>
      <c r="E39" s="31"/>
      <c r="F39" s="31"/>
      <c r="G39" s="32"/>
      <c r="H39" s="32"/>
      <c r="I39" s="32"/>
      <c r="J39" s="32"/>
      <c r="K39" s="32"/>
      <c r="L39" s="32"/>
      <c r="M39" s="32"/>
      <c r="N39" s="33"/>
      <c r="O39" s="34" t="n">
        <f aca="false">IF(A39="",0,N(I39)+N(J39)+N(K39)/12+N(L39)+N(M39))</f>
        <v>0</v>
      </c>
      <c r="P39" s="29"/>
    </row>
    <row r="40" customFormat="false" ht="15" hidden="false" customHeight="false" outlineLevel="0" collapsed="false">
      <c r="A40" s="29"/>
      <c r="B40" s="30"/>
      <c r="C40" s="29"/>
      <c r="D40" s="29"/>
      <c r="E40" s="31"/>
      <c r="F40" s="31"/>
      <c r="G40" s="32"/>
      <c r="H40" s="32"/>
      <c r="I40" s="32"/>
      <c r="J40" s="32"/>
      <c r="K40" s="32"/>
      <c r="L40" s="32"/>
      <c r="M40" s="32"/>
      <c r="N40" s="33"/>
      <c r="O40" s="34" t="n">
        <f aca="false">IF(A40="",0,N(I40)+N(J40)+N(K40)/12+N(L40)+N(M40))</f>
        <v>0</v>
      </c>
      <c r="P40" s="29"/>
    </row>
    <row r="41" customFormat="false" ht="15" hidden="false" customHeight="false" outlineLevel="0" collapsed="false">
      <c r="A41" s="29"/>
      <c r="B41" s="30"/>
      <c r="C41" s="29"/>
      <c r="D41" s="29"/>
      <c r="E41" s="31"/>
      <c r="F41" s="31"/>
      <c r="G41" s="32"/>
      <c r="H41" s="32"/>
      <c r="I41" s="32"/>
      <c r="J41" s="32"/>
      <c r="K41" s="32"/>
      <c r="L41" s="32"/>
      <c r="M41" s="32"/>
      <c r="N41" s="33"/>
      <c r="O41" s="34" t="n">
        <f aca="false">IF(A41="",0,N(I41)+N(J41)+N(K41)/12+N(L41)+N(M41))</f>
        <v>0</v>
      </c>
      <c r="P41" s="29"/>
    </row>
    <row r="42" customFormat="false" ht="15" hidden="false" customHeight="false" outlineLevel="0" collapsed="false">
      <c r="A42" s="29"/>
      <c r="B42" s="30"/>
      <c r="C42" s="29"/>
      <c r="D42" s="29"/>
      <c r="E42" s="31"/>
      <c r="F42" s="31"/>
      <c r="G42" s="32"/>
      <c r="H42" s="32"/>
      <c r="I42" s="32"/>
      <c r="J42" s="32"/>
      <c r="K42" s="32"/>
      <c r="L42" s="32"/>
      <c r="M42" s="32"/>
      <c r="N42" s="33"/>
      <c r="O42" s="34" t="n">
        <f aca="false">IF(A42="",0,N(I42)+N(J42)+N(K42)/12+N(L42)+N(M42))</f>
        <v>0</v>
      </c>
      <c r="P42" s="29"/>
    </row>
    <row r="43" customFormat="false" ht="15" hidden="false" customHeight="false" outlineLevel="0" collapsed="false">
      <c r="A43" s="29"/>
      <c r="B43" s="30"/>
      <c r="C43" s="29"/>
      <c r="D43" s="29"/>
      <c r="E43" s="31"/>
      <c r="F43" s="31"/>
      <c r="G43" s="32"/>
      <c r="H43" s="32"/>
      <c r="I43" s="32"/>
      <c r="J43" s="32"/>
      <c r="K43" s="32"/>
      <c r="L43" s="32"/>
      <c r="M43" s="32"/>
      <c r="N43" s="33"/>
      <c r="O43" s="34" t="n">
        <f aca="false">IF(A43="",0,N(I43)+N(J43)+N(K43)/12+N(L43)+N(M43))</f>
        <v>0</v>
      </c>
      <c r="P43" s="29"/>
    </row>
    <row r="44" customFormat="false" ht="15" hidden="false" customHeight="false" outlineLevel="0" collapsed="false">
      <c r="A44" s="29"/>
      <c r="B44" s="30"/>
      <c r="C44" s="29"/>
      <c r="D44" s="29"/>
      <c r="E44" s="31"/>
      <c r="F44" s="31"/>
      <c r="G44" s="32"/>
      <c r="H44" s="32"/>
      <c r="I44" s="32"/>
      <c r="J44" s="32"/>
      <c r="K44" s="32"/>
      <c r="L44" s="32"/>
      <c r="M44" s="32"/>
      <c r="N44" s="33"/>
      <c r="O44" s="34" t="n">
        <f aca="false">IF(A44="",0,N(I44)+N(J44)+N(K44)/12+N(L44)+N(M44))</f>
        <v>0</v>
      </c>
      <c r="P44" s="29"/>
    </row>
    <row r="45" customFormat="false" ht="15" hidden="false" customHeight="false" outlineLevel="0" collapsed="false">
      <c r="A45" s="29"/>
      <c r="B45" s="30"/>
      <c r="C45" s="29"/>
      <c r="D45" s="29"/>
      <c r="E45" s="31"/>
      <c r="F45" s="31"/>
      <c r="G45" s="32"/>
      <c r="H45" s="32"/>
      <c r="I45" s="32"/>
      <c r="J45" s="32"/>
      <c r="K45" s="32"/>
      <c r="L45" s="32"/>
      <c r="M45" s="32"/>
      <c r="N45" s="33"/>
      <c r="O45" s="34" t="n">
        <f aca="false">IF(A45="",0,N(I45)+N(J45)+N(K45)/12+N(L45)+N(M45))</f>
        <v>0</v>
      </c>
      <c r="P45" s="29"/>
    </row>
    <row r="46" customFormat="false" ht="15" hidden="false" customHeight="false" outlineLevel="0" collapsed="false">
      <c r="A46" s="29"/>
      <c r="B46" s="30"/>
      <c r="C46" s="29"/>
      <c r="D46" s="29"/>
      <c r="E46" s="31"/>
      <c r="F46" s="31"/>
      <c r="G46" s="32"/>
      <c r="H46" s="32"/>
      <c r="I46" s="32"/>
      <c r="J46" s="32"/>
      <c r="K46" s="32"/>
      <c r="L46" s="32"/>
      <c r="M46" s="32"/>
      <c r="N46" s="33"/>
      <c r="O46" s="34" t="n">
        <f aca="false">IF(A46="",0,N(I46)+N(J46)+N(K46)/12+N(L46)+N(M46))</f>
        <v>0</v>
      </c>
      <c r="P46" s="29"/>
    </row>
    <row r="47" customFormat="false" ht="15" hidden="false" customHeight="false" outlineLevel="0" collapsed="false">
      <c r="A47" s="29"/>
      <c r="B47" s="30"/>
      <c r="C47" s="29"/>
      <c r="D47" s="29"/>
      <c r="E47" s="31"/>
      <c r="F47" s="31"/>
      <c r="G47" s="32"/>
      <c r="H47" s="32"/>
      <c r="I47" s="32"/>
      <c r="J47" s="32"/>
      <c r="K47" s="32"/>
      <c r="L47" s="32"/>
      <c r="M47" s="32"/>
      <c r="N47" s="33"/>
      <c r="O47" s="34" t="n">
        <f aca="false">IF(A47="",0,N(I47)+N(J47)+N(K47)/12+N(L47)+N(M47))</f>
        <v>0</v>
      </c>
      <c r="P47" s="29"/>
    </row>
    <row r="48" customFormat="false" ht="15" hidden="false" customHeight="false" outlineLevel="0" collapsed="false">
      <c r="A48" s="29"/>
      <c r="B48" s="30"/>
      <c r="C48" s="29"/>
      <c r="D48" s="29"/>
      <c r="E48" s="31"/>
      <c r="F48" s="31"/>
      <c r="G48" s="32"/>
      <c r="H48" s="32"/>
      <c r="I48" s="32"/>
      <c r="J48" s="32"/>
      <c r="K48" s="32"/>
      <c r="L48" s="32"/>
      <c r="M48" s="32"/>
      <c r="N48" s="33"/>
      <c r="O48" s="34" t="n">
        <f aca="false">IF(A48="",0,N(I48)+N(J48)+N(K48)/12+N(L48)+N(M48))</f>
        <v>0</v>
      </c>
      <c r="P48" s="29"/>
    </row>
    <row r="49" customFormat="false" ht="15" hidden="false" customHeight="false" outlineLevel="0" collapsed="false">
      <c r="A49" s="29"/>
      <c r="B49" s="30"/>
      <c r="C49" s="29"/>
      <c r="D49" s="29"/>
      <c r="E49" s="31"/>
      <c r="F49" s="31"/>
      <c r="G49" s="32"/>
      <c r="H49" s="32"/>
      <c r="I49" s="32"/>
      <c r="J49" s="32"/>
      <c r="K49" s="32"/>
      <c r="L49" s="32"/>
      <c r="M49" s="32"/>
      <c r="N49" s="33"/>
      <c r="O49" s="34" t="n">
        <f aca="false">IF(A49="",0,N(I49)+N(J49)+N(K49)/12+N(L49)+N(M49))</f>
        <v>0</v>
      </c>
      <c r="P49" s="29"/>
    </row>
    <row r="50" customFormat="false" ht="15" hidden="false" customHeight="false" outlineLevel="0" collapsed="false">
      <c r="A50" s="29"/>
      <c r="B50" s="30"/>
      <c r="C50" s="29"/>
      <c r="D50" s="29"/>
      <c r="E50" s="31"/>
      <c r="F50" s="31"/>
      <c r="G50" s="32"/>
      <c r="H50" s="32"/>
      <c r="I50" s="32"/>
      <c r="J50" s="32"/>
      <c r="K50" s="32"/>
      <c r="L50" s="32"/>
      <c r="M50" s="32"/>
      <c r="N50" s="33"/>
      <c r="O50" s="34" t="n">
        <f aca="false">IF(A50="",0,N(I50)+N(J50)+N(K50)/12+N(L50)+N(M50))</f>
        <v>0</v>
      </c>
      <c r="P50" s="29"/>
    </row>
    <row r="51" customFormat="false" ht="15" hidden="false" customHeight="false" outlineLevel="0" collapsed="false">
      <c r="A51" s="29"/>
      <c r="B51" s="30"/>
      <c r="C51" s="29"/>
      <c r="D51" s="29"/>
      <c r="E51" s="31"/>
      <c r="F51" s="31"/>
      <c r="G51" s="32"/>
      <c r="H51" s="32"/>
      <c r="I51" s="32"/>
      <c r="J51" s="32"/>
      <c r="K51" s="32"/>
      <c r="L51" s="32"/>
      <c r="M51" s="32"/>
      <c r="N51" s="33"/>
      <c r="O51" s="34" t="n">
        <f aca="false">IF(A51="",0,N(I51)+N(J51)+N(K51)/12+N(L51)+N(M51))</f>
        <v>0</v>
      </c>
      <c r="P51" s="29"/>
    </row>
    <row r="52" customFormat="false" ht="15" hidden="false" customHeight="false" outlineLevel="0" collapsed="false">
      <c r="A52" s="29"/>
      <c r="B52" s="30"/>
      <c r="C52" s="29"/>
      <c r="D52" s="29"/>
      <c r="E52" s="31"/>
      <c r="F52" s="31"/>
      <c r="G52" s="32"/>
      <c r="H52" s="32"/>
      <c r="I52" s="32"/>
      <c r="J52" s="32"/>
      <c r="K52" s="32"/>
      <c r="L52" s="32"/>
      <c r="M52" s="32"/>
      <c r="N52" s="33"/>
      <c r="O52" s="34" t="n">
        <f aca="false">IF(A52="",0,N(I52)+N(J52)+N(K52)/12+N(L52)+N(M52))</f>
        <v>0</v>
      </c>
      <c r="P52" s="29"/>
    </row>
    <row r="53" customFormat="false" ht="15" hidden="false" customHeight="false" outlineLevel="0" collapsed="false">
      <c r="A53" s="29"/>
      <c r="B53" s="30"/>
      <c r="C53" s="29"/>
      <c r="D53" s="29"/>
      <c r="E53" s="31"/>
      <c r="F53" s="31"/>
      <c r="G53" s="32"/>
      <c r="H53" s="32"/>
      <c r="I53" s="32"/>
      <c r="J53" s="32"/>
      <c r="K53" s="32"/>
      <c r="L53" s="32"/>
      <c r="M53" s="32"/>
      <c r="N53" s="33"/>
      <c r="O53" s="34" t="n">
        <f aca="false">IF(A53="",0,N(I53)+N(J53)+N(K53)/12+N(L53)+N(M53))</f>
        <v>0</v>
      </c>
      <c r="P53" s="29"/>
    </row>
    <row r="54" customFormat="false" ht="15" hidden="false" customHeight="false" outlineLevel="0" collapsed="false">
      <c r="A54" s="29"/>
      <c r="B54" s="30"/>
      <c r="C54" s="29"/>
      <c r="D54" s="29"/>
      <c r="E54" s="31"/>
      <c r="F54" s="31"/>
      <c r="G54" s="32"/>
      <c r="H54" s="32"/>
      <c r="I54" s="32"/>
      <c r="J54" s="32"/>
      <c r="K54" s="32"/>
      <c r="L54" s="32"/>
      <c r="M54" s="32"/>
      <c r="N54" s="33"/>
      <c r="O54" s="34" t="n">
        <f aca="false">IF(A54="",0,N(I54)+N(J54)+N(K54)/12+N(L54)+N(M54))</f>
        <v>0</v>
      </c>
      <c r="P54" s="29"/>
    </row>
    <row r="55" customFormat="false" ht="15" hidden="false" customHeight="false" outlineLevel="0" collapsed="false">
      <c r="A55" s="29"/>
      <c r="B55" s="30"/>
      <c r="C55" s="29"/>
      <c r="D55" s="29"/>
      <c r="E55" s="31"/>
      <c r="F55" s="31"/>
      <c r="G55" s="32"/>
      <c r="H55" s="32"/>
      <c r="I55" s="32"/>
      <c r="J55" s="32"/>
      <c r="K55" s="32"/>
      <c r="L55" s="32"/>
      <c r="M55" s="32"/>
      <c r="N55" s="33"/>
      <c r="O55" s="34" t="n">
        <f aca="false">IF(A55="",0,N(I55)+N(J55)+N(K55)/12+N(L55)+N(M55))</f>
        <v>0</v>
      </c>
      <c r="P55" s="29"/>
    </row>
    <row r="56" customFormat="false" ht="15" hidden="false" customHeight="false" outlineLevel="0" collapsed="false">
      <c r="A56" s="29"/>
      <c r="B56" s="30"/>
      <c r="C56" s="29"/>
      <c r="D56" s="29"/>
      <c r="E56" s="31"/>
      <c r="F56" s="31"/>
      <c r="G56" s="32"/>
      <c r="H56" s="32"/>
      <c r="I56" s="32"/>
      <c r="J56" s="32"/>
      <c r="K56" s="32"/>
      <c r="L56" s="32"/>
      <c r="M56" s="32"/>
      <c r="N56" s="33"/>
      <c r="O56" s="34" t="n">
        <f aca="false">IF(A56="",0,N(I56)+N(J56)+N(K56)/12+N(L56)+N(M56))</f>
        <v>0</v>
      </c>
      <c r="P56" s="29"/>
    </row>
    <row r="57" customFormat="false" ht="15" hidden="false" customHeight="false" outlineLevel="0" collapsed="false">
      <c r="A57" s="29"/>
      <c r="B57" s="30"/>
      <c r="C57" s="29"/>
      <c r="D57" s="29"/>
      <c r="E57" s="31"/>
      <c r="F57" s="31"/>
      <c r="G57" s="32"/>
      <c r="H57" s="32"/>
      <c r="I57" s="32"/>
      <c r="J57" s="32"/>
      <c r="K57" s="32"/>
      <c r="L57" s="32"/>
      <c r="M57" s="32"/>
      <c r="N57" s="33"/>
      <c r="O57" s="34" t="n">
        <f aca="false">IF(A57="",0,N(I57)+N(J57)+N(K57)/12+N(L57)+N(M57))</f>
        <v>0</v>
      </c>
      <c r="P57" s="29"/>
    </row>
    <row r="58" customFormat="false" ht="15" hidden="false" customHeight="false" outlineLevel="0" collapsed="false">
      <c r="A58" s="29"/>
      <c r="B58" s="30"/>
      <c r="C58" s="29"/>
      <c r="D58" s="29"/>
      <c r="E58" s="31"/>
      <c r="F58" s="31"/>
      <c r="G58" s="32"/>
      <c r="H58" s="32"/>
      <c r="I58" s="32"/>
      <c r="J58" s="32"/>
      <c r="K58" s="32"/>
      <c r="L58" s="32"/>
      <c r="M58" s="32"/>
      <c r="N58" s="33"/>
      <c r="O58" s="34" t="n">
        <f aca="false">IF(A58="",0,N(I58)+N(J58)+N(K58)/12+N(L58)+N(M58))</f>
        <v>0</v>
      </c>
      <c r="P58" s="29"/>
    </row>
    <row r="59" customFormat="false" ht="15" hidden="false" customHeight="false" outlineLevel="0" collapsed="false">
      <c r="A59" s="29"/>
      <c r="B59" s="30"/>
      <c r="C59" s="29"/>
      <c r="D59" s="29"/>
      <c r="E59" s="31"/>
      <c r="F59" s="31"/>
      <c r="G59" s="32"/>
      <c r="H59" s="32"/>
      <c r="I59" s="32"/>
      <c r="J59" s="32"/>
      <c r="K59" s="32"/>
      <c r="L59" s="32"/>
      <c r="M59" s="32"/>
      <c r="N59" s="33"/>
      <c r="O59" s="34" t="n">
        <f aca="false">IF(A59="",0,N(I59)+N(J59)+N(K59)/12+N(L59)+N(M59))</f>
        <v>0</v>
      </c>
      <c r="P59" s="29"/>
    </row>
    <row r="60" customFormat="false" ht="15" hidden="false" customHeight="false" outlineLevel="0" collapsed="false">
      <c r="A60" s="29"/>
      <c r="B60" s="30"/>
      <c r="C60" s="29"/>
      <c r="D60" s="29"/>
      <c r="E60" s="31"/>
      <c r="F60" s="31"/>
      <c r="G60" s="32"/>
      <c r="H60" s="32"/>
      <c r="I60" s="32"/>
      <c r="J60" s="32"/>
      <c r="K60" s="32"/>
      <c r="L60" s="32"/>
      <c r="M60" s="32"/>
      <c r="N60" s="33"/>
      <c r="O60" s="34" t="n">
        <f aca="false">IF(A60="",0,N(I60)+N(J60)+N(K60)/12+N(L60)+N(M60))</f>
        <v>0</v>
      </c>
      <c r="P60" s="29"/>
    </row>
    <row r="61" customFormat="false" ht="15" hidden="false" customHeight="false" outlineLevel="0" collapsed="false">
      <c r="A61" s="29"/>
      <c r="B61" s="30"/>
      <c r="C61" s="29"/>
      <c r="D61" s="29"/>
      <c r="E61" s="31"/>
      <c r="F61" s="31"/>
      <c r="G61" s="32"/>
      <c r="H61" s="32"/>
      <c r="I61" s="32"/>
      <c r="J61" s="32"/>
      <c r="K61" s="32"/>
      <c r="L61" s="32"/>
      <c r="M61" s="32"/>
      <c r="N61" s="33"/>
      <c r="O61" s="34" t="n">
        <f aca="false">IF(A61="",0,N(I61)+N(J61)+N(K61)/12+N(L61)+N(M61))</f>
        <v>0</v>
      </c>
      <c r="P61" s="29"/>
    </row>
    <row r="62" customFormat="false" ht="15" hidden="false" customHeight="false" outlineLevel="0" collapsed="false">
      <c r="A62" s="29"/>
      <c r="B62" s="30"/>
      <c r="C62" s="29"/>
      <c r="D62" s="29"/>
      <c r="E62" s="31"/>
      <c r="F62" s="31"/>
      <c r="G62" s="32"/>
      <c r="H62" s="32"/>
      <c r="I62" s="32"/>
      <c r="J62" s="32"/>
      <c r="K62" s="32"/>
      <c r="L62" s="32"/>
      <c r="M62" s="32"/>
      <c r="N62" s="33"/>
      <c r="O62" s="34" t="n">
        <f aca="false">IF(A62="",0,N(I62)+N(J62)+N(K62)/12+N(L62)+N(M62))</f>
        <v>0</v>
      </c>
      <c r="P62" s="29"/>
    </row>
    <row r="63" customFormat="false" ht="15" hidden="false" customHeight="false" outlineLevel="0" collapsed="false">
      <c r="A63" s="29"/>
      <c r="B63" s="30"/>
      <c r="C63" s="29"/>
      <c r="D63" s="29"/>
      <c r="E63" s="31"/>
      <c r="F63" s="31"/>
      <c r="G63" s="32"/>
      <c r="H63" s="32"/>
      <c r="I63" s="32"/>
      <c r="J63" s="32"/>
      <c r="K63" s="32"/>
      <c r="L63" s="32"/>
      <c r="M63" s="32"/>
      <c r="N63" s="33"/>
      <c r="O63" s="34" t="n">
        <f aca="false">IF(A63="",0,N(I63)+N(J63)+N(K63)/12+N(L63)+N(M63))</f>
        <v>0</v>
      </c>
      <c r="P63" s="29"/>
    </row>
    <row r="64" customFormat="false" ht="15" hidden="false" customHeight="false" outlineLevel="0" collapsed="false">
      <c r="A64" s="29"/>
      <c r="B64" s="30"/>
      <c r="C64" s="29"/>
      <c r="D64" s="29"/>
      <c r="E64" s="31"/>
      <c r="F64" s="31"/>
      <c r="G64" s="32"/>
      <c r="H64" s="32"/>
      <c r="I64" s="32"/>
      <c r="J64" s="32"/>
      <c r="K64" s="32"/>
      <c r="L64" s="32"/>
      <c r="M64" s="32"/>
      <c r="N64" s="33"/>
      <c r="O64" s="34" t="n">
        <f aca="false">IF(A64="",0,N(I64)+N(J64)+N(K64)/12+N(L64)+N(M64))</f>
        <v>0</v>
      </c>
      <c r="P64" s="29"/>
    </row>
    <row r="65" customFormat="false" ht="15" hidden="false" customHeight="false" outlineLevel="0" collapsed="false">
      <c r="A65" s="29"/>
      <c r="B65" s="30"/>
      <c r="C65" s="29"/>
      <c r="D65" s="29"/>
      <c r="E65" s="31"/>
      <c r="F65" s="31"/>
      <c r="G65" s="32"/>
      <c r="H65" s="32"/>
      <c r="I65" s="32"/>
      <c r="J65" s="32"/>
      <c r="K65" s="32"/>
      <c r="L65" s="32"/>
      <c r="M65" s="32"/>
      <c r="N65" s="33"/>
      <c r="O65" s="34" t="n">
        <f aca="false">IF(A65="",0,N(I65)+N(J65)+N(K65)/12+N(L65)+N(M65))</f>
        <v>0</v>
      </c>
      <c r="P65" s="29"/>
    </row>
    <row r="66" customFormat="false" ht="15" hidden="false" customHeight="false" outlineLevel="0" collapsed="false">
      <c r="A66" s="29"/>
      <c r="B66" s="30"/>
      <c r="C66" s="29"/>
      <c r="D66" s="29"/>
      <c r="E66" s="31"/>
      <c r="F66" s="31"/>
      <c r="G66" s="32"/>
      <c r="H66" s="32"/>
      <c r="I66" s="32"/>
      <c r="J66" s="32"/>
      <c r="K66" s="32"/>
      <c r="L66" s="32"/>
      <c r="M66" s="32"/>
      <c r="N66" s="33"/>
      <c r="O66" s="34" t="n">
        <f aca="false">IF(A66="",0,N(I66)+N(J66)+N(K66)/12+N(L66)+N(M66))</f>
        <v>0</v>
      </c>
      <c r="P66" s="29"/>
    </row>
    <row r="67" customFormat="false" ht="15" hidden="false" customHeight="false" outlineLevel="0" collapsed="false">
      <c r="A67" s="29"/>
      <c r="B67" s="30"/>
      <c r="C67" s="29"/>
      <c r="D67" s="29"/>
      <c r="E67" s="31"/>
      <c r="F67" s="31"/>
      <c r="G67" s="32"/>
      <c r="H67" s="32"/>
      <c r="I67" s="32"/>
      <c r="J67" s="32"/>
      <c r="K67" s="32"/>
      <c r="L67" s="32"/>
      <c r="M67" s="32"/>
      <c r="N67" s="33"/>
      <c r="O67" s="34" t="n">
        <f aca="false">IF(A67="",0,N(I67)+N(J67)+N(K67)/12+N(L67)+N(M67))</f>
        <v>0</v>
      </c>
      <c r="P67" s="29"/>
    </row>
    <row r="68" customFormat="false" ht="15" hidden="false" customHeight="false" outlineLevel="0" collapsed="false">
      <c r="A68" s="29"/>
      <c r="B68" s="30"/>
      <c r="C68" s="29"/>
      <c r="D68" s="29"/>
      <c r="E68" s="31"/>
      <c r="F68" s="31"/>
      <c r="G68" s="32"/>
      <c r="H68" s="32"/>
      <c r="I68" s="32"/>
      <c r="J68" s="32"/>
      <c r="K68" s="32"/>
      <c r="L68" s="32"/>
      <c r="M68" s="32"/>
      <c r="N68" s="33"/>
      <c r="O68" s="34" t="n">
        <f aca="false">IF(A68="",0,N(I68)+N(J68)+N(K68)/12+N(L68)+N(M68))</f>
        <v>0</v>
      </c>
      <c r="P68" s="29"/>
    </row>
    <row r="69" customFormat="false" ht="15" hidden="false" customHeight="false" outlineLevel="0" collapsed="false">
      <c r="A69" s="29"/>
      <c r="B69" s="30"/>
      <c r="C69" s="29"/>
      <c r="D69" s="29"/>
      <c r="E69" s="31"/>
      <c r="F69" s="31"/>
      <c r="G69" s="32"/>
      <c r="H69" s="32"/>
      <c r="I69" s="32"/>
      <c r="J69" s="32"/>
      <c r="K69" s="32"/>
      <c r="L69" s="32"/>
      <c r="M69" s="32"/>
      <c r="N69" s="33"/>
      <c r="O69" s="34" t="n">
        <f aca="false">IF(A69="",0,N(I69)+N(J69)+N(K69)/12+N(L69)+N(M69))</f>
        <v>0</v>
      </c>
      <c r="P69" s="29"/>
    </row>
    <row r="70" customFormat="false" ht="15" hidden="false" customHeight="false" outlineLevel="0" collapsed="false">
      <c r="A70" s="29"/>
      <c r="B70" s="30"/>
      <c r="C70" s="29"/>
      <c r="D70" s="29"/>
      <c r="E70" s="31"/>
      <c r="F70" s="31"/>
      <c r="G70" s="32"/>
      <c r="H70" s="32"/>
      <c r="I70" s="32"/>
      <c r="J70" s="32"/>
      <c r="K70" s="32"/>
      <c r="L70" s="32"/>
      <c r="M70" s="32"/>
      <c r="N70" s="33"/>
      <c r="O70" s="34" t="n">
        <f aca="false">IF(A70="",0,N(I70)+N(J70)+N(K70)/12+N(L70)+N(M70))</f>
        <v>0</v>
      </c>
      <c r="P70" s="29"/>
    </row>
    <row r="71" customFormat="false" ht="15" hidden="false" customHeight="false" outlineLevel="0" collapsed="false">
      <c r="A71" s="29"/>
      <c r="B71" s="30"/>
      <c r="C71" s="29"/>
      <c r="D71" s="29"/>
      <c r="E71" s="31"/>
      <c r="F71" s="31"/>
      <c r="G71" s="32"/>
      <c r="H71" s="32"/>
      <c r="I71" s="32"/>
      <c r="J71" s="32"/>
      <c r="K71" s="32"/>
      <c r="L71" s="32"/>
      <c r="M71" s="32"/>
      <c r="N71" s="33"/>
      <c r="O71" s="34" t="n">
        <f aca="false">IF(A71="",0,N(I71)+N(J71)+N(K71)/12+N(L71)+N(M71))</f>
        <v>0</v>
      </c>
      <c r="P71" s="29"/>
    </row>
    <row r="72" customFormat="false" ht="15" hidden="false" customHeight="false" outlineLevel="0" collapsed="false">
      <c r="A72" s="29"/>
      <c r="B72" s="30"/>
      <c r="C72" s="29"/>
      <c r="D72" s="29"/>
      <c r="E72" s="31"/>
      <c r="F72" s="31"/>
      <c r="G72" s="32"/>
      <c r="H72" s="32"/>
      <c r="I72" s="32"/>
      <c r="J72" s="32"/>
      <c r="K72" s="32"/>
      <c r="L72" s="32"/>
      <c r="M72" s="32"/>
      <c r="N72" s="33"/>
      <c r="O72" s="34" t="n">
        <f aca="false">IF(A72="",0,N(I72)+N(J72)+N(K72)/12+N(L72)+N(M72))</f>
        <v>0</v>
      </c>
      <c r="P72" s="29"/>
    </row>
    <row r="73" customFormat="false" ht="15" hidden="false" customHeight="false" outlineLevel="0" collapsed="false">
      <c r="A73" s="29"/>
      <c r="B73" s="30"/>
      <c r="C73" s="29"/>
      <c r="D73" s="29"/>
      <c r="E73" s="31"/>
      <c r="F73" s="31"/>
      <c r="G73" s="32"/>
      <c r="H73" s="32"/>
      <c r="I73" s="32"/>
      <c r="J73" s="32"/>
      <c r="K73" s="32"/>
      <c r="L73" s="32"/>
      <c r="M73" s="32"/>
      <c r="N73" s="33"/>
      <c r="O73" s="34" t="n">
        <f aca="false">IF(A73="",0,N(I73)+N(J73)+N(K73)/12+N(L73)+N(M73))</f>
        <v>0</v>
      </c>
      <c r="P73" s="29"/>
    </row>
    <row r="74" customFormat="false" ht="15" hidden="false" customHeight="false" outlineLevel="0" collapsed="false">
      <c r="A74" s="29"/>
      <c r="B74" s="30"/>
      <c r="C74" s="29"/>
      <c r="D74" s="29"/>
      <c r="E74" s="31"/>
      <c r="F74" s="31"/>
      <c r="G74" s="32"/>
      <c r="H74" s="32"/>
      <c r="I74" s="32"/>
      <c r="J74" s="32"/>
      <c r="K74" s="32"/>
      <c r="L74" s="32"/>
      <c r="M74" s="32"/>
      <c r="N74" s="33"/>
      <c r="O74" s="34" t="n">
        <f aca="false">IF(A74="",0,N(I74)+N(J74)+N(K74)/12+N(L74)+N(M74))</f>
        <v>0</v>
      </c>
      <c r="P74" s="29"/>
    </row>
    <row r="75" customFormat="false" ht="15" hidden="false" customHeight="false" outlineLevel="0" collapsed="false">
      <c r="A75" s="29"/>
      <c r="B75" s="30"/>
      <c r="C75" s="29"/>
      <c r="D75" s="29"/>
      <c r="E75" s="31"/>
      <c r="F75" s="31"/>
      <c r="G75" s="32"/>
      <c r="H75" s="32"/>
      <c r="I75" s="32"/>
      <c r="J75" s="32"/>
      <c r="K75" s="32"/>
      <c r="L75" s="32"/>
      <c r="M75" s="32"/>
      <c r="N75" s="33"/>
      <c r="O75" s="34" t="n">
        <f aca="false">IF(A75="",0,N(I75)+N(J75)+N(K75)/12+N(L75)+N(M75))</f>
        <v>0</v>
      </c>
      <c r="P75" s="29"/>
    </row>
    <row r="76" customFormat="false" ht="15" hidden="false" customHeight="false" outlineLevel="0" collapsed="false">
      <c r="A76" s="29"/>
      <c r="B76" s="30"/>
      <c r="C76" s="29"/>
      <c r="D76" s="29"/>
      <c r="E76" s="31"/>
      <c r="F76" s="31"/>
      <c r="G76" s="32"/>
      <c r="H76" s="32"/>
      <c r="I76" s="32"/>
      <c r="J76" s="32"/>
      <c r="K76" s="32"/>
      <c r="L76" s="32"/>
      <c r="M76" s="32"/>
      <c r="N76" s="33"/>
      <c r="O76" s="34" t="n">
        <f aca="false">IF(A76="",0,N(I76)+N(J76)+N(K76)/12+N(L76)+N(M76))</f>
        <v>0</v>
      </c>
      <c r="P76" s="29"/>
    </row>
    <row r="77" customFormat="false" ht="15" hidden="false" customHeight="false" outlineLevel="0" collapsed="false">
      <c r="A77" s="29"/>
      <c r="B77" s="30"/>
      <c r="C77" s="29"/>
      <c r="D77" s="29"/>
      <c r="E77" s="31"/>
      <c r="F77" s="31"/>
      <c r="G77" s="32"/>
      <c r="H77" s="32"/>
      <c r="I77" s="32"/>
      <c r="J77" s="32"/>
      <c r="K77" s="32"/>
      <c r="L77" s="32"/>
      <c r="M77" s="32"/>
      <c r="N77" s="33"/>
      <c r="O77" s="34" t="n">
        <f aca="false">IF(A77="",0,N(I77)+N(J77)+N(K77)/12+N(L77)+N(M77))</f>
        <v>0</v>
      </c>
      <c r="P77" s="29"/>
    </row>
    <row r="78" customFormat="false" ht="15" hidden="false" customHeight="false" outlineLevel="0" collapsed="false">
      <c r="A78" s="29"/>
      <c r="B78" s="30"/>
      <c r="C78" s="29"/>
      <c r="D78" s="29"/>
      <c r="E78" s="31"/>
      <c r="F78" s="31"/>
      <c r="G78" s="32"/>
      <c r="H78" s="32"/>
      <c r="I78" s="32"/>
      <c r="J78" s="32"/>
      <c r="K78" s="32"/>
      <c r="L78" s="32"/>
      <c r="M78" s="32"/>
      <c r="N78" s="33"/>
      <c r="O78" s="34" t="n">
        <f aca="false">IF(A78="",0,N(I78)+N(J78)+N(K78)/12+N(L78)+N(M78))</f>
        <v>0</v>
      </c>
      <c r="P78" s="29"/>
    </row>
    <row r="79" customFormat="false" ht="15" hidden="false" customHeight="false" outlineLevel="0" collapsed="false">
      <c r="A79" s="29"/>
      <c r="B79" s="30"/>
      <c r="C79" s="29"/>
      <c r="D79" s="29"/>
      <c r="E79" s="31"/>
      <c r="F79" s="31"/>
      <c r="G79" s="32"/>
      <c r="H79" s="32"/>
      <c r="I79" s="32"/>
      <c r="J79" s="32"/>
      <c r="K79" s="32"/>
      <c r="L79" s="32"/>
      <c r="M79" s="32"/>
      <c r="N79" s="33"/>
      <c r="O79" s="34" t="n">
        <f aca="false">IF(A79="",0,N(I79)+N(J79)+N(K79)/12+N(L79)+N(M79))</f>
        <v>0</v>
      </c>
      <c r="P79" s="29"/>
    </row>
  </sheetData>
  <dataValidations count="2">
    <dataValidation allowBlank="true" errorStyle="stop" operator="between" showDropDown="false" showErrorMessage="false" showInputMessage="false" sqref="D5:D79" type="list">
      <formula1>"Active,Sold"</formula1>
      <formula2>0</formula2>
    </dataValidation>
    <dataValidation allowBlank="true" errorStyle="stop" operator="between" showDropDown="false" showErrorMessage="false" showInputMessage="false" sqref="N5:N79" type="list">
      <formula1>"0.7,0.8,0.9"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28"/>
  </cols>
  <sheetData>
    <row r="1" customFormat="false" ht="17.35" hidden="false" customHeight="false" outlineLevel="0" collapsed="false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1.5" hidden="false" customHeight="true" outlineLevel="0" collapsed="false">
      <c r="A4" s="13" t="s">
        <v>117</v>
      </c>
      <c r="B4" s="13" t="s">
        <v>93</v>
      </c>
      <c r="C4" s="13" t="s">
        <v>118</v>
      </c>
      <c r="D4" s="13" t="s">
        <v>119</v>
      </c>
      <c r="E4" s="13" t="s">
        <v>120</v>
      </c>
      <c r="F4" s="13" t="s">
        <v>121</v>
      </c>
      <c r="G4" s="13" t="s">
        <v>29</v>
      </c>
      <c r="H4" s="13" t="s">
        <v>122</v>
      </c>
      <c r="I4" s="13" t="s">
        <v>123</v>
      </c>
      <c r="J4" s="13" t="s">
        <v>124</v>
      </c>
      <c r="K4" s="13" t="s">
        <v>125</v>
      </c>
      <c r="L4" s="13" t="s">
        <v>43</v>
      </c>
      <c r="M4" s="13" t="s">
        <v>126</v>
      </c>
      <c r="N4" s="13" t="s">
        <v>108</v>
      </c>
    </row>
    <row r="5" customFormat="false" ht="15" hidden="false" customHeight="false" outlineLevel="0" collapsed="false">
      <c r="A5" s="29" t="s">
        <v>127</v>
      </c>
      <c r="B5" s="29" t="s">
        <v>109</v>
      </c>
      <c r="C5" s="31" t="n">
        <v>46329</v>
      </c>
      <c r="D5" s="31" t="n">
        <v>46333</v>
      </c>
      <c r="E5" s="35" t="n">
        <f aca="false">IF(OR(C5="",D5=""),"",MAX(1,D5-C5))</f>
        <v>4</v>
      </c>
      <c r="F5" s="32" t="n">
        <v>248</v>
      </c>
      <c r="G5" s="36" t="n">
        <f aca="false">IF(B5="","",IFERROR(IF(N(INDEX(Fleet!$N$5:$N$79,MATCH(B5,Fleet!$A$5:$A$79,0)))&gt;0,INDEX(Fleet!$N$5:$N$79,MATCH(B5,Fleet!$A$5:$A$79,0)),Assumptions!$B$7),Assumptions!$B$7))</f>
        <v>0.8</v>
      </c>
      <c r="H5" s="34" t="n">
        <f aca="false">IF(OR(F5="",G5=""),"",F5*G5)</f>
        <v>198.4</v>
      </c>
      <c r="I5" s="32" t="n">
        <v>0</v>
      </c>
      <c r="J5" s="32" t="n">
        <v>35</v>
      </c>
      <c r="K5" s="37" t="n">
        <v>5</v>
      </c>
      <c r="L5" s="38" t="n">
        <f aca="false">IF(C5="","",DATE(YEAR(C5),MONTH(C5),1))</f>
        <v>46327</v>
      </c>
      <c r="M5" s="34" t="n">
        <f aca="false">IF(F5="","",N(H5)+N(I5)-N(J5))</f>
        <v>163.4</v>
      </c>
      <c r="N5" s="29" t="s">
        <v>112</v>
      </c>
    </row>
    <row r="6" customFormat="false" ht="15" hidden="false" customHeight="false" outlineLevel="0" collapsed="false">
      <c r="A6" s="29" t="s">
        <v>128</v>
      </c>
      <c r="B6" s="29" t="s">
        <v>109</v>
      </c>
      <c r="C6" s="31" t="n">
        <v>46335</v>
      </c>
      <c r="D6" s="31" t="n">
        <v>46342</v>
      </c>
      <c r="E6" s="35" t="n">
        <f aca="false">IF(OR(C6="",D6=""),"",MAX(1,D6-C6))</f>
        <v>7</v>
      </c>
      <c r="F6" s="32" t="n">
        <v>410</v>
      </c>
      <c r="G6" s="36" t="n">
        <f aca="false">IF(B6="","",IFERROR(IF(N(INDEX(Fleet!$N$5:$N$79,MATCH(B6,Fleet!$A$5:$A$79,0)))&gt;0,INDEX(Fleet!$N$5:$N$79,MATCH(B6,Fleet!$A$5:$A$79,0)),Assumptions!$B$7),Assumptions!$B$7))</f>
        <v>0.8</v>
      </c>
      <c r="H6" s="34" t="n">
        <f aca="false">IF(OR(F6="",G6=""),"",F6*G6)</f>
        <v>328</v>
      </c>
      <c r="I6" s="32" t="n">
        <v>18</v>
      </c>
      <c r="J6" s="32" t="n">
        <v>35</v>
      </c>
      <c r="K6" s="37" t="n">
        <v>5</v>
      </c>
      <c r="L6" s="38" t="n">
        <f aca="false">IF(C6="","",DATE(YEAR(C6),MONTH(C6),1))</f>
        <v>46327</v>
      </c>
      <c r="M6" s="34" t="n">
        <f aca="false">IF(F6="","",N(H6)+N(I6)-N(J6))</f>
        <v>311</v>
      </c>
      <c r="N6" s="29" t="s">
        <v>112</v>
      </c>
    </row>
    <row r="7" customFormat="false" ht="15" hidden="false" customHeight="false" outlineLevel="0" collapsed="false">
      <c r="A7" s="29" t="s">
        <v>129</v>
      </c>
      <c r="B7" s="29" t="s">
        <v>113</v>
      </c>
      <c r="C7" s="31" t="n">
        <v>46344</v>
      </c>
      <c r="D7" s="31" t="n">
        <v>46348</v>
      </c>
      <c r="E7" s="35" t="n">
        <f aca="false">IF(OR(C7="",D7=""),"",MAX(1,D7-C7))</f>
        <v>4</v>
      </c>
      <c r="F7" s="32" t="n">
        <v>312</v>
      </c>
      <c r="G7" s="36" t="n">
        <f aca="false">IF(B7="","",IFERROR(IF(N(INDEX(Fleet!$N$5:$N$79,MATCH(B7,Fleet!$A$5:$A$79,0)))&gt;0,INDEX(Fleet!$N$5:$N$79,MATCH(B7,Fleet!$A$5:$A$79,0)),Assumptions!$B$7),Assumptions!$B$7))</f>
        <v>0.8</v>
      </c>
      <c r="H7" s="34" t="n">
        <f aca="false">IF(OR(F7="",G7=""),"",F7*G7)</f>
        <v>249.6</v>
      </c>
      <c r="I7" s="32" t="n">
        <v>0</v>
      </c>
      <c r="J7" s="32" t="n">
        <v>35</v>
      </c>
      <c r="K7" s="37" t="n">
        <v>5</v>
      </c>
      <c r="L7" s="38" t="n">
        <f aca="false">IF(C7="","",DATE(YEAR(C7),MONTH(C7),1))</f>
        <v>46327</v>
      </c>
      <c r="M7" s="34" t="n">
        <f aca="false">IF(F7="","",N(H7)+N(I7)-N(J7))</f>
        <v>214.6</v>
      </c>
      <c r="N7" s="29" t="s">
        <v>112</v>
      </c>
    </row>
    <row r="8" customFormat="false" ht="15" hidden="false" customHeight="false" outlineLevel="0" collapsed="false">
      <c r="A8" s="29" t="s">
        <v>130</v>
      </c>
      <c r="B8" s="29" t="s">
        <v>109</v>
      </c>
      <c r="C8" s="31" t="n">
        <v>46346</v>
      </c>
      <c r="D8" s="31" t="n">
        <v>46350</v>
      </c>
      <c r="E8" s="35" t="n">
        <f aca="false">IF(OR(C8="",D8=""),"",MAX(1,D8-C8))</f>
        <v>4</v>
      </c>
      <c r="F8" s="32" t="n">
        <v>236</v>
      </c>
      <c r="G8" s="36" t="n">
        <f aca="false">IF(B8="","",IFERROR(IF(N(INDEX(Fleet!$N$5:$N$79,MATCH(B8,Fleet!$A$5:$A$79,0)))&gt;0,INDEX(Fleet!$N$5:$N$79,MATCH(B8,Fleet!$A$5:$A$79,0)),Assumptions!$B$7),Assumptions!$B$7))</f>
        <v>0.8</v>
      </c>
      <c r="H8" s="34" t="n">
        <f aca="false">IF(OR(F8="",G8=""),"",F8*G8)</f>
        <v>188.8</v>
      </c>
      <c r="I8" s="32" t="n">
        <v>12</v>
      </c>
      <c r="J8" s="32" t="n">
        <v>35</v>
      </c>
      <c r="K8" s="37" t="n">
        <v>4</v>
      </c>
      <c r="L8" s="38" t="n">
        <f aca="false">IF(C8="","",DATE(YEAR(C8),MONTH(C8),1))</f>
        <v>46327</v>
      </c>
      <c r="M8" s="34" t="n">
        <f aca="false">IF(F8="","",N(H8)+N(I8)-N(J8))</f>
        <v>165.8</v>
      </c>
      <c r="N8" s="29" t="s">
        <v>112</v>
      </c>
    </row>
    <row r="9" customFormat="false" ht="15" hidden="false" customHeight="false" outlineLevel="0" collapsed="false">
      <c r="A9" s="29"/>
      <c r="B9" s="29"/>
      <c r="C9" s="31"/>
      <c r="D9" s="31"/>
      <c r="E9" s="35" t="str">
        <f aca="false">IF(OR(C9="",D9=""),"",MAX(1,D9-C9))</f>
        <v/>
      </c>
      <c r="F9" s="32"/>
      <c r="G9" s="36" t="str">
        <f aca="false">IF(B9="","",IFERROR(IF(N(INDEX(Fleet!$N$5:$N$79,MATCH(B9,Fleet!$A$5:$A$79,0)))&gt;0,INDEX(Fleet!$N$5:$N$79,MATCH(B9,Fleet!$A$5:$A$79,0)),Assumptions!$B$7),Assumptions!$B$7))</f>
        <v/>
      </c>
      <c r="H9" s="34" t="str">
        <f aca="false">IF(OR(F9="",G9=""),"",F9*G9)</f>
        <v/>
      </c>
      <c r="I9" s="32"/>
      <c r="J9" s="32"/>
      <c r="K9" s="37"/>
      <c r="L9" s="38" t="str">
        <f aca="false">IF(C9="","",DATE(YEAR(C9),MONTH(C9),1))</f>
        <v/>
      </c>
      <c r="M9" s="34" t="str">
        <f aca="false">IF(F9="","",N(H9)+N(I9)-N(J9))</f>
        <v/>
      </c>
      <c r="N9" s="29"/>
    </row>
    <row r="10" customFormat="false" ht="15" hidden="false" customHeight="false" outlineLevel="0" collapsed="false">
      <c r="A10" s="29"/>
      <c r="B10" s="29"/>
      <c r="C10" s="31"/>
      <c r="D10" s="31"/>
      <c r="E10" s="35" t="str">
        <f aca="false">IF(OR(C10="",D10=""),"",MAX(1,D10-C10))</f>
        <v/>
      </c>
      <c r="F10" s="32"/>
      <c r="G10" s="36" t="str">
        <f aca="false">IF(B10="","",IFERROR(IF(N(INDEX(Fleet!$N$5:$N$79,MATCH(B10,Fleet!$A$5:$A$79,0)))&gt;0,INDEX(Fleet!$N$5:$N$79,MATCH(B10,Fleet!$A$5:$A$79,0)),Assumptions!$B$7),Assumptions!$B$7))</f>
        <v/>
      </c>
      <c r="H10" s="34" t="str">
        <f aca="false">IF(OR(F10="",G10=""),"",F10*G10)</f>
        <v/>
      </c>
      <c r="I10" s="32"/>
      <c r="J10" s="32"/>
      <c r="K10" s="37"/>
      <c r="L10" s="38" t="str">
        <f aca="false">IF(C10="","",DATE(YEAR(C10),MONTH(C10),1))</f>
        <v/>
      </c>
      <c r="M10" s="34" t="str">
        <f aca="false">IF(F10="","",N(H10)+N(I10)-N(J10))</f>
        <v/>
      </c>
      <c r="N10" s="29"/>
    </row>
    <row r="11" customFormat="false" ht="15" hidden="false" customHeight="false" outlineLevel="0" collapsed="false">
      <c r="A11" s="29"/>
      <c r="B11" s="29"/>
      <c r="C11" s="31"/>
      <c r="D11" s="31"/>
      <c r="E11" s="35" t="str">
        <f aca="false">IF(OR(C11="",D11=""),"",MAX(1,D11-C11))</f>
        <v/>
      </c>
      <c r="F11" s="32"/>
      <c r="G11" s="36" t="str">
        <f aca="false">IF(B11="","",IFERROR(IF(N(INDEX(Fleet!$N$5:$N$79,MATCH(B11,Fleet!$A$5:$A$79,0)))&gt;0,INDEX(Fleet!$N$5:$N$79,MATCH(B11,Fleet!$A$5:$A$79,0)),Assumptions!$B$7),Assumptions!$B$7))</f>
        <v/>
      </c>
      <c r="H11" s="34" t="str">
        <f aca="false">IF(OR(F11="",G11=""),"",F11*G11)</f>
        <v/>
      </c>
      <c r="I11" s="32"/>
      <c r="J11" s="32"/>
      <c r="K11" s="37"/>
      <c r="L11" s="38" t="str">
        <f aca="false">IF(C11="","",DATE(YEAR(C11),MONTH(C11),1))</f>
        <v/>
      </c>
      <c r="M11" s="34" t="str">
        <f aca="false">IF(F11="","",N(H11)+N(I11)-N(J11))</f>
        <v/>
      </c>
      <c r="N11" s="29"/>
    </row>
    <row r="12" customFormat="false" ht="15" hidden="false" customHeight="false" outlineLevel="0" collapsed="false">
      <c r="A12" s="29"/>
      <c r="B12" s="29"/>
      <c r="C12" s="31"/>
      <c r="D12" s="31"/>
      <c r="E12" s="35" t="str">
        <f aca="false">IF(OR(C12="",D12=""),"",MAX(1,D12-C12))</f>
        <v/>
      </c>
      <c r="F12" s="32"/>
      <c r="G12" s="36" t="str">
        <f aca="false">IF(B12="","",IFERROR(IF(N(INDEX(Fleet!$N$5:$N$79,MATCH(B12,Fleet!$A$5:$A$79,0)))&gt;0,INDEX(Fleet!$N$5:$N$79,MATCH(B12,Fleet!$A$5:$A$79,0)),Assumptions!$B$7),Assumptions!$B$7))</f>
        <v/>
      </c>
      <c r="H12" s="34" t="str">
        <f aca="false">IF(OR(F12="",G12=""),"",F12*G12)</f>
        <v/>
      </c>
      <c r="I12" s="32"/>
      <c r="J12" s="32"/>
      <c r="K12" s="37"/>
      <c r="L12" s="38" t="str">
        <f aca="false">IF(C12="","",DATE(YEAR(C12),MONTH(C12),1))</f>
        <v/>
      </c>
      <c r="M12" s="34" t="str">
        <f aca="false">IF(F12="","",N(H12)+N(I12)-N(J12))</f>
        <v/>
      </c>
      <c r="N12" s="29"/>
    </row>
    <row r="13" customFormat="false" ht="15" hidden="false" customHeight="false" outlineLevel="0" collapsed="false">
      <c r="A13" s="29"/>
      <c r="B13" s="29"/>
      <c r="C13" s="31"/>
      <c r="D13" s="31"/>
      <c r="E13" s="35" t="str">
        <f aca="false">IF(OR(C13="",D13=""),"",MAX(1,D13-C13))</f>
        <v/>
      </c>
      <c r="F13" s="32"/>
      <c r="G13" s="36" t="str">
        <f aca="false">IF(B13="","",IFERROR(IF(N(INDEX(Fleet!$N$5:$N$79,MATCH(B13,Fleet!$A$5:$A$79,0)))&gt;0,INDEX(Fleet!$N$5:$N$79,MATCH(B13,Fleet!$A$5:$A$79,0)),Assumptions!$B$7),Assumptions!$B$7))</f>
        <v/>
      </c>
      <c r="H13" s="34" t="str">
        <f aca="false">IF(OR(F13="",G13=""),"",F13*G13)</f>
        <v/>
      </c>
      <c r="I13" s="32"/>
      <c r="J13" s="32"/>
      <c r="K13" s="37"/>
      <c r="L13" s="38" t="str">
        <f aca="false">IF(C13="","",DATE(YEAR(C13),MONTH(C13),1))</f>
        <v/>
      </c>
      <c r="M13" s="34" t="str">
        <f aca="false">IF(F13="","",N(H13)+N(I13)-N(J13))</f>
        <v/>
      </c>
      <c r="N13" s="29"/>
    </row>
    <row r="14" customFormat="false" ht="15" hidden="false" customHeight="false" outlineLevel="0" collapsed="false">
      <c r="A14" s="29"/>
      <c r="B14" s="29"/>
      <c r="C14" s="31"/>
      <c r="D14" s="31"/>
      <c r="E14" s="35" t="str">
        <f aca="false">IF(OR(C14="",D14=""),"",MAX(1,D14-C14))</f>
        <v/>
      </c>
      <c r="F14" s="32"/>
      <c r="G14" s="36" t="str">
        <f aca="false">IF(B14="","",IFERROR(IF(N(INDEX(Fleet!$N$5:$N$79,MATCH(B14,Fleet!$A$5:$A$79,0)))&gt;0,INDEX(Fleet!$N$5:$N$79,MATCH(B14,Fleet!$A$5:$A$79,0)),Assumptions!$B$7),Assumptions!$B$7))</f>
        <v/>
      </c>
      <c r="H14" s="34" t="str">
        <f aca="false">IF(OR(F14="",G14=""),"",F14*G14)</f>
        <v/>
      </c>
      <c r="I14" s="32"/>
      <c r="J14" s="32"/>
      <c r="K14" s="37"/>
      <c r="L14" s="38" t="str">
        <f aca="false">IF(C14="","",DATE(YEAR(C14),MONTH(C14),1))</f>
        <v/>
      </c>
      <c r="M14" s="34" t="str">
        <f aca="false">IF(F14="","",N(H14)+N(I14)-N(J14))</f>
        <v/>
      </c>
      <c r="N14" s="29"/>
    </row>
    <row r="15" customFormat="false" ht="15" hidden="false" customHeight="false" outlineLevel="0" collapsed="false">
      <c r="A15" s="29"/>
      <c r="B15" s="29"/>
      <c r="C15" s="31"/>
      <c r="D15" s="31"/>
      <c r="E15" s="35" t="str">
        <f aca="false">IF(OR(C15="",D15=""),"",MAX(1,D15-C15))</f>
        <v/>
      </c>
      <c r="F15" s="32"/>
      <c r="G15" s="36" t="str">
        <f aca="false">IF(B15="","",IFERROR(IF(N(INDEX(Fleet!$N$5:$N$79,MATCH(B15,Fleet!$A$5:$A$79,0)))&gt;0,INDEX(Fleet!$N$5:$N$79,MATCH(B15,Fleet!$A$5:$A$79,0)),Assumptions!$B$7),Assumptions!$B$7))</f>
        <v/>
      </c>
      <c r="H15" s="34" t="str">
        <f aca="false">IF(OR(F15="",G15=""),"",F15*G15)</f>
        <v/>
      </c>
      <c r="I15" s="32"/>
      <c r="J15" s="32"/>
      <c r="K15" s="37"/>
      <c r="L15" s="38" t="str">
        <f aca="false">IF(C15="","",DATE(YEAR(C15),MONTH(C15),1))</f>
        <v/>
      </c>
      <c r="M15" s="34" t="str">
        <f aca="false">IF(F15="","",N(H15)+N(I15)-N(J15))</f>
        <v/>
      </c>
      <c r="N15" s="29"/>
    </row>
    <row r="16" customFormat="false" ht="15" hidden="false" customHeight="false" outlineLevel="0" collapsed="false">
      <c r="A16" s="29"/>
      <c r="B16" s="29"/>
      <c r="C16" s="31"/>
      <c r="D16" s="31"/>
      <c r="E16" s="35" t="str">
        <f aca="false">IF(OR(C16="",D16=""),"",MAX(1,D16-C16))</f>
        <v/>
      </c>
      <c r="F16" s="32"/>
      <c r="G16" s="36" t="str">
        <f aca="false">IF(B16="","",IFERROR(IF(N(INDEX(Fleet!$N$5:$N$79,MATCH(B16,Fleet!$A$5:$A$79,0)))&gt;0,INDEX(Fleet!$N$5:$N$79,MATCH(B16,Fleet!$A$5:$A$79,0)),Assumptions!$B$7),Assumptions!$B$7))</f>
        <v/>
      </c>
      <c r="H16" s="34" t="str">
        <f aca="false">IF(OR(F16="",G16=""),"",F16*G16)</f>
        <v/>
      </c>
      <c r="I16" s="32"/>
      <c r="J16" s="32"/>
      <c r="K16" s="37"/>
      <c r="L16" s="38" t="str">
        <f aca="false">IF(C16="","",DATE(YEAR(C16),MONTH(C16),1))</f>
        <v/>
      </c>
      <c r="M16" s="34" t="str">
        <f aca="false">IF(F16="","",N(H16)+N(I16)-N(J16))</f>
        <v/>
      </c>
      <c r="N16" s="29"/>
    </row>
    <row r="17" customFormat="false" ht="15" hidden="false" customHeight="false" outlineLevel="0" collapsed="false">
      <c r="A17" s="29"/>
      <c r="B17" s="29"/>
      <c r="C17" s="31"/>
      <c r="D17" s="31"/>
      <c r="E17" s="35" t="str">
        <f aca="false">IF(OR(C17="",D17=""),"",MAX(1,D17-C17))</f>
        <v/>
      </c>
      <c r="F17" s="32"/>
      <c r="G17" s="36" t="str">
        <f aca="false">IF(B17="","",IFERROR(IF(N(INDEX(Fleet!$N$5:$N$79,MATCH(B17,Fleet!$A$5:$A$79,0)))&gt;0,INDEX(Fleet!$N$5:$N$79,MATCH(B17,Fleet!$A$5:$A$79,0)),Assumptions!$B$7),Assumptions!$B$7))</f>
        <v/>
      </c>
      <c r="H17" s="34" t="str">
        <f aca="false">IF(OR(F17="",G17=""),"",F17*G17)</f>
        <v/>
      </c>
      <c r="I17" s="32"/>
      <c r="J17" s="32"/>
      <c r="K17" s="37"/>
      <c r="L17" s="38" t="str">
        <f aca="false">IF(C17="","",DATE(YEAR(C17),MONTH(C17),1))</f>
        <v/>
      </c>
      <c r="M17" s="34" t="str">
        <f aca="false">IF(F17="","",N(H17)+N(I17)-N(J17))</f>
        <v/>
      </c>
      <c r="N17" s="29"/>
    </row>
    <row r="18" customFormat="false" ht="15" hidden="false" customHeight="false" outlineLevel="0" collapsed="false">
      <c r="A18" s="29"/>
      <c r="B18" s="29"/>
      <c r="C18" s="31"/>
      <c r="D18" s="31"/>
      <c r="E18" s="35" t="str">
        <f aca="false">IF(OR(C18="",D18=""),"",MAX(1,D18-C18))</f>
        <v/>
      </c>
      <c r="F18" s="32"/>
      <c r="G18" s="36" t="str">
        <f aca="false">IF(B18="","",IFERROR(IF(N(INDEX(Fleet!$N$5:$N$79,MATCH(B18,Fleet!$A$5:$A$79,0)))&gt;0,INDEX(Fleet!$N$5:$N$79,MATCH(B18,Fleet!$A$5:$A$79,0)),Assumptions!$B$7),Assumptions!$B$7))</f>
        <v/>
      </c>
      <c r="H18" s="34" t="str">
        <f aca="false">IF(OR(F18="",G18=""),"",F18*G18)</f>
        <v/>
      </c>
      <c r="I18" s="32"/>
      <c r="J18" s="32"/>
      <c r="K18" s="37"/>
      <c r="L18" s="38" t="str">
        <f aca="false">IF(C18="","",DATE(YEAR(C18),MONTH(C18),1))</f>
        <v/>
      </c>
      <c r="M18" s="34" t="str">
        <f aca="false">IF(F18="","",N(H18)+N(I18)-N(J18))</f>
        <v/>
      </c>
      <c r="N18" s="29"/>
    </row>
    <row r="19" customFormat="false" ht="15" hidden="false" customHeight="false" outlineLevel="0" collapsed="false">
      <c r="A19" s="29"/>
      <c r="B19" s="29"/>
      <c r="C19" s="31"/>
      <c r="D19" s="31"/>
      <c r="E19" s="35" t="str">
        <f aca="false">IF(OR(C19="",D19=""),"",MAX(1,D19-C19))</f>
        <v/>
      </c>
      <c r="F19" s="32"/>
      <c r="G19" s="36" t="str">
        <f aca="false">IF(B19="","",IFERROR(IF(N(INDEX(Fleet!$N$5:$N$79,MATCH(B19,Fleet!$A$5:$A$79,0)))&gt;0,INDEX(Fleet!$N$5:$N$79,MATCH(B19,Fleet!$A$5:$A$79,0)),Assumptions!$B$7),Assumptions!$B$7))</f>
        <v/>
      </c>
      <c r="H19" s="34" t="str">
        <f aca="false">IF(OR(F19="",G19=""),"",F19*G19)</f>
        <v/>
      </c>
      <c r="I19" s="32"/>
      <c r="J19" s="32"/>
      <c r="K19" s="37"/>
      <c r="L19" s="38" t="str">
        <f aca="false">IF(C19="","",DATE(YEAR(C19),MONTH(C19),1))</f>
        <v/>
      </c>
      <c r="M19" s="34" t="str">
        <f aca="false">IF(F19="","",N(H19)+N(I19)-N(J19))</f>
        <v/>
      </c>
      <c r="N19" s="29"/>
    </row>
    <row r="20" customFormat="false" ht="15" hidden="false" customHeight="false" outlineLevel="0" collapsed="false">
      <c r="A20" s="29"/>
      <c r="B20" s="29"/>
      <c r="C20" s="31"/>
      <c r="D20" s="31"/>
      <c r="E20" s="35" t="str">
        <f aca="false">IF(OR(C20="",D20=""),"",MAX(1,D20-C20))</f>
        <v/>
      </c>
      <c r="F20" s="32"/>
      <c r="G20" s="36" t="str">
        <f aca="false">IF(B20="","",IFERROR(IF(N(INDEX(Fleet!$N$5:$N$79,MATCH(B20,Fleet!$A$5:$A$79,0)))&gt;0,INDEX(Fleet!$N$5:$N$79,MATCH(B20,Fleet!$A$5:$A$79,0)),Assumptions!$B$7),Assumptions!$B$7))</f>
        <v/>
      </c>
      <c r="H20" s="34" t="str">
        <f aca="false">IF(OR(F20="",G20=""),"",F20*G20)</f>
        <v/>
      </c>
      <c r="I20" s="32"/>
      <c r="J20" s="32"/>
      <c r="K20" s="37"/>
      <c r="L20" s="38" t="str">
        <f aca="false">IF(C20="","",DATE(YEAR(C20),MONTH(C20),1))</f>
        <v/>
      </c>
      <c r="M20" s="34" t="str">
        <f aca="false">IF(F20="","",N(H20)+N(I20)-N(J20))</f>
        <v/>
      </c>
      <c r="N20" s="29"/>
    </row>
    <row r="21" customFormat="false" ht="15" hidden="false" customHeight="false" outlineLevel="0" collapsed="false">
      <c r="A21" s="29"/>
      <c r="B21" s="29"/>
      <c r="C21" s="31"/>
      <c r="D21" s="31"/>
      <c r="E21" s="35" t="str">
        <f aca="false">IF(OR(C21="",D21=""),"",MAX(1,D21-C21))</f>
        <v/>
      </c>
      <c r="F21" s="32"/>
      <c r="G21" s="36" t="str">
        <f aca="false">IF(B21="","",IFERROR(IF(N(INDEX(Fleet!$N$5:$N$79,MATCH(B21,Fleet!$A$5:$A$79,0)))&gt;0,INDEX(Fleet!$N$5:$N$79,MATCH(B21,Fleet!$A$5:$A$79,0)),Assumptions!$B$7),Assumptions!$B$7))</f>
        <v/>
      </c>
      <c r="H21" s="34" t="str">
        <f aca="false">IF(OR(F21="",G21=""),"",F21*G21)</f>
        <v/>
      </c>
      <c r="I21" s="32"/>
      <c r="J21" s="32"/>
      <c r="K21" s="37"/>
      <c r="L21" s="38" t="str">
        <f aca="false">IF(C21="","",DATE(YEAR(C21),MONTH(C21),1))</f>
        <v/>
      </c>
      <c r="M21" s="34" t="str">
        <f aca="false">IF(F21="","",N(H21)+N(I21)-N(J21))</f>
        <v/>
      </c>
      <c r="N21" s="29"/>
    </row>
    <row r="22" customFormat="false" ht="15" hidden="false" customHeight="false" outlineLevel="0" collapsed="false">
      <c r="A22" s="29"/>
      <c r="B22" s="29"/>
      <c r="C22" s="31"/>
      <c r="D22" s="31"/>
      <c r="E22" s="35" t="str">
        <f aca="false">IF(OR(C22="",D22=""),"",MAX(1,D22-C22))</f>
        <v/>
      </c>
      <c r="F22" s="32"/>
      <c r="G22" s="36" t="str">
        <f aca="false">IF(B22="","",IFERROR(IF(N(INDEX(Fleet!$N$5:$N$79,MATCH(B22,Fleet!$A$5:$A$79,0)))&gt;0,INDEX(Fleet!$N$5:$N$79,MATCH(B22,Fleet!$A$5:$A$79,0)),Assumptions!$B$7),Assumptions!$B$7))</f>
        <v/>
      </c>
      <c r="H22" s="34" t="str">
        <f aca="false">IF(OR(F22="",G22=""),"",F22*G22)</f>
        <v/>
      </c>
      <c r="I22" s="32"/>
      <c r="J22" s="32"/>
      <c r="K22" s="37"/>
      <c r="L22" s="38" t="str">
        <f aca="false">IF(C22="","",DATE(YEAR(C22),MONTH(C22),1))</f>
        <v/>
      </c>
      <c r="M22" s="34" t="str">
        <f aca="false">IF(F22="","",N(H22)+N(I22)-N(J22))</f>
        <v/>
      </c>
      <c r="N22" s="29"/>
    </row>
    <row r="23" customFormat="false" ht="15" hidden="false" customHeight="false" outlineLevel="0" collapsed="false">
      <c r="A23" s="29"/>
      <c r="B23" s="29"/>
      <c r="C23" s="31"/>
      <c r="D23" s="31"/>
      <c r="E23" s="35" t="str">
        <f aca="false">IF(OR(C23="",D23=""),"",MAX(1,D23-C23))</f>
        <v/>
      </c>
      <c r="F23" s="32"/>
      <c r="G23" s="36" t="str">
        <f aca="false">IF(B23="","",IFERROR(IF(N(INDEX(Fleet!$N$5:$N$79,MATCH(B23,Fleet!$A$5:$A$79,0)))&gt;0,INDEX(Fleet!$N$5:$N$79,MATCH(B23,Fleet!$A$5:$A$79,0)),Assumptions!$B$7),Assumptions!$B$7))</f>
        <v/>
      </c>
      <c r="H23" s="34" t="str">
        <f aca="false">IF(OR(F23="",G23=""),"",F23*G23)</f>
        <v/>
      </c>
      <c r="I23" s="32"/>
      <c r="J23" s="32"/>
      <c r="K23" s="37"/>
      <c r="L23" s="38" t="str">
        <f aca="false">IF(C23="","",DATE(YEAR(C23),MONTH(C23),1))</f>
        <v/>
      </c>
      <c r="M23" s="34" t="str">
        <f aca="false">IF(F23="","",N(H23)+N(I23)-N(J23))</f>
        <v/>
      </c>
      <c r="N23" s="29"/>
    </row>
    <row r="24" customFormat="false" ht="15" hidden="false" customHeight="false" outlineLevel="0" collapsed="false">
      <c r="A24" s="29"/>
      <c r="B24" s="29"/>
      <c r="C24" s="31"/>
      <c r="D24" s="31"/>
      <c r="E24" s="35" t="str">
        <f aca="false">IF(OR(C24="",D24=""),"",MAX(1,D24-C24))</f>
        <v/>
      </c>
      <c r="F24" s="32"/>
      <c r="G24" s="36" t="str">
        <f aca="false">IF(B24="","",IFERROR(IF(N(INDEX(Fleet!$N$5:$N$79,MATCH(B24,Fleet!$A$5:$A$79,0)))&gt;0,INDEX(Fleet!$N$5:$N$79,MATCH(B24,Fleet!$A$5:$A$79,0)),Assumptions!$B$7),Assumptions!$B$7))</f>
        <v/>
      </c>
      <c r="H24" s="34" t="str">
        <f aca="false">IF(OR(F24="",G24=""),"",F24*G24)</f>
        <v/>
      </c>
      <c r="I24" s="32"/>
      <c r="J24" s="32"/>
      <c r="K24" s="37"/>
      <c r="L24" s="38" t="str">
        <f aca="false">IF(C24="","",DATE(YEAR(C24),MONTH(C24),1))</f>
        <v/>
      </c>
      <c r="M24" s="34" t="str">
        <f aca="false">IF(F24="","",N(H24)+N(I24)-N(J24))</f>
        <v/>
      </c>
      <c r="N24" s="29"/>
    </row>
    <row r="25" customFormat="false" ht="15" hidden="false" customHeight="false" outlineLevel="0" collapsed="false">
      <c r="A25" s="29"/>
      <c r="B25" s="29"/>
      <c r="C25" s="31"/>
      <c r="D25" s="31"/>
      <c r="E25" s="35" t="str">
        <f aca="false">IF(OR(C25="",D25=""),"",MAX(1,D25-C25))</f>
        <v/>
      </c>
      <c r="F25" s="32"/>
      <c r="G25" s="36" t="str">
        <f aca="false">IF(B25="","",IFERROR(IF(N(INDEX(Fleet!$N$5:$N$79,MATCH(B25,Fleet!$A$5:$A$79,0)))&gt;0,INDEX(Fleet!$N$5:$N$79,MATCH(B25,Fleet!$A$5:$A$79,0)),Assumptions!$B$7),Assumptions!$B$7))</f>
        <v/>
      </c>
      <c r="H25" s="34" t="str">
        <f aca="false">IF(OR(F25="",G25=""),"",F25*G25)</f>
        <v/>
      </c>
      <c r="I25" s="32"/>
      <c r="J25" s="32"/>
      <c r="K25" s="37"/>
      <c r="L25" s="38" t="str">
        <f aca="false">IF(C25="","",DATE(YEAR(C25),MONTH(C25),1))</f>
        <v/>
      </c>
      <c r="M25" s="34" t="str">
        <f aca="false">IF(F25="","",N(H25)+N(I25)-N(J25))</f>
        <v/>
      </c>
      <c r="N25" s="29"/>
    </row>
    <row r="26" customFormat="false" ht="15" hidden="false" customHeight="false" outlineLevel="0" collapsed="false">
      <c r="A26" s="29"/>
      <c r="B26" s="29"/>
      <c r="C26" s="31"/>
      <c r="D26" s="31"/>
      <c r="E26" s="35" t="str">
        <f aca="false">IF(OR(C26="",D26=""),"",MAX(1,D26-C26))</f>
        <v/>
      </c>
      <c r="F26" s="32"/>
      <c r="G26" s="36" t="str">
        <f aca="false">IF(B26="","",IFERROR(IF(N(INDEX(Fleet!$N$5:$N$79,MATCH(B26,Fleet!$A$5:$A$79,0)))&gt;0,INDEX(Fleet!$N$5:$N$79,MATCH(B26,Fleet!$A$5:$A$79,0)),Assumptions!$B$7),Assumptions!$B$7))</f>
        <v/>
      </c>
      <c r="H26" s="34" t="str">
        <f aca="false">IF(OR(F26="",G26=""),"",F26*G26)</f>
        <v/>
      </c>
      <c r="I26" s="32"/>
      <c r="J26" s="32"/>
      <c r="K26" s="37"/>
      <c r="L26" s="38" t="str">
        <f aca="false">IF(C26="","",DATE(YEAR(C26),MONTH(C26),1))</f>
        <v/>
      </c>
      <c r="M26" s="34" t="str">
        <f aca="false">IF(F26="","",N(H26)+N(I26)-N(J26))</f>
        <v/>
      </c>
      <c r="N26" s="29"/>
    </row>
    <row r="27" customFormat="false" ht="15" hidden="false" customHeight="false" outlineLevel="0" collapsed="false">
      <c r="A27" s="29"/>
      <c r="B27" s="29"/>
      <c r="C27" s="31"/>
      <c r="D27" s="31"/>
      <c r="E27" s="35" t="str">
        <f aca="false">IF(OR(C27="",D27=""),"",MAX(1,D27-C27))</f>
        <v/>
      </c>
      <c r="F27" s="32"/>
      <c r="G27" s="36" t="str">
        <f aca="false">IF(B27="","",IFERROR(IF(N(INDEX(Fleet!$N$5:$N$79,MATCH(B27,Fleet!$A$5:$A$79,0)))&gt;0,INDEX(Fleet!$N$5:$N$79,MATCH(B27,Fleet!$A$5:$A$79,0)),Assumptions!$B$7),Assumptions!$B$7))</f>
        <v/>
      </c>
      <c r="H27" s="34" t="str">
        <f aca="false">IF(OR(F27="",G27=""),"",F27*G27)</f>
        <v/>
      </c>
      <c r="I27" s="32"/>
      <c r="J27" s="32"/>
      <c r="K27" s="37"/>
      <c r="L27" s="38" t="str">
        <f aca="false">IF(C27="","",DATE(YEAR(C27),MONTH(C27),1))</f>
        <v/>
      </c>
      <c r="M27" s="34" t="str">
        <f aca="false">IF(F27="","",N(H27)+N(I27)-N(J27))</f>
        <v/>
      </c>
      <c r="N27" s="29"/>
    </row>
    <row r="28" customFormat="false" ht="15" hidden="false" customHeight="false" outlineLevel="0" collapsed="false">
      <c r="A28" s="29"/>
      <c r="B28" s="29"/>
      <c r="C28" s="31"/>
      <c r="D28" s="31"/>
      <c r="E28" s="35" t="str">
        <f aca="false">IF(OR(C28="",D28=""),"",MAX(1,D28-C28))</f>
        <v/>
      </c>
      <c r="F28" s="32"/>
      <c r="G28" s="36" t="str">
        <f aca="false">IF(B28="","",IFERROR(IF(N(INDEX(Fleet!$N$5:$N$79,MATCH(B28,Fleet!$A$5:$A$79,0)))&gt;0,INDEX(Fleet!$N$5:$N$79,MATCH(B28,Fleet!$A$5:$A$79,0)),Assumptions!$B$7),Assumptions!$B$7))</f>
        <v/>
      </c>
      <c r="H28" s="34" t="str">
        <f aca="false">IF(OR(F28="",G28=""),"",F28*G28)</f>
        <v/>
      </c>
      <c r="I28" s="32"/>
      <c r="J28" s="32"/>
      <c r="K28" s="37"/>
      <c r="L28" s="38" t="str">
        <f aca="false">IF(C28="","",DATE(YEAR(C28),MONTH(C28),1))</f>
        <v/>
      </c>
      <c r="M28" s="34" t="str">
        <f aca="false">IF(F28="","",N(H28)+N(I28)-N(J28))</f>
        <v/>
      </c>
      <c r="N28" s="29"/>
    </row>
    <row r="29" customFormat="false" ht="15" hidden="false" customHeight="false" outlineLevel="0" collapsed="false">
      <c r="A29" s="29"/>
      <c r="B29" s="29"/>
      <c r="C29" s="31"/>
      <c r="D29" s="31"/>
      <c r="E29" s="35" t="str">
        <f aca="false">IF(OR(C29="",D29=""),"",MAX(1,D29-C29))</f>
        <v/>
      </c>
      <c r="F29" s="32"/>
      <c r="G29" s="36" t="str">
        <f aca="false">IF(B29="","",IFERROR(IF(N(INDEX(Fleet!$N$5:$N$79,MATCH(B29,Fleet!$A$5:$A$79,0)))&gt;0,INDEX(Fleet!$N$5:$N$79,MATCH(B29,Fleet!$A$5:$A$79,0)),Assumptions!$B$7),Assumptions!$B$7))</f>
        <v/>
      </c>
      <c r="H29" s="34" t="str">
        <f aca="false">IF(OR(F29="",G29=""),"",F29*G29)</f>
        <v/>
      </c>
      <c r="I29" s="32"/>
      <c r="J29" s="32"/>
      <c r="K29" s="37"/>
      <c r="L29" s="38" t="str">
        <f aca="false">IF(C29="","",DATE(YEAR(C29),MONTH(C29),1))</f>
        <v/>
      </c>
      <c r="M29" s="34" t="str">
        <f aca="false">IF(F29="","",N(H29)+N(I29)-N(J29))</f>
        <v/>
      </c>
      <c r="N29" s="29"/>
    </row>
    <row r="30" customFormat="false" ht="15" hidden="false" customHeight="false" outlineLevel="0" collapsed="false">
      <c r="A30" s="29"/>
      <c r="B30" s="29"/>
      <c r="C30" s="31"/>
      <c r="D30" s="31"/>
      <c r="E30" s="35" t="str">
        <f aca="false">IF(OR(C30="",D30=""),"",MAX(1,D30-C30))</f>
        <v/>
      </c>
      <c r="F30" s="32"/>
      <c r="G30" s="36" t="str">
        <f aca="false">IF(B30="","",IFERROR(IF(N(INDEX(Fleet!$N$5:$N$79,MATCH(B30,Fleet!$A$5:$A$79,0)))&gt;0,INDEX(Fleet!$N$5:$N$79,MATCH(B30,Fleet!$A$5:$A$79,0)),Assumptions!$B$7),Assumptions!$B$7))</f>
        <v/>
      </c>
      <c r="H30" s="34" t="str">
        <f aca="false">IF(OR(F30="",G30=""),"",F30*G30)</f>
        <v/>
      </c>
      <c r="I30" s="32"/>
      <c r="J30" s="32"/>
      <c r="K30" s="37"/>
      <c r="L30" s="38" t="str">
        <f aca="false">IF(C30="","",DATE(YEAR(C30),MONTH(C30),1))</f>
        <v/>
      </c>
      <c r="M30" s="34" t="str">
        <f aca="false">IF(F30="","",N(H30)+N(I30)-N(J30))</f>
        <v/>
      </c>
      <c r="N30" s="29"/>
    </row>
    <row r="31" customFormat="false" ht="15" hidden="false" customHeight="false" outlineLevel="0" collapsed="false">
      <c r="A31" s="29"/>
      <c r="B31" s="29"/>
      <c r="C31" s="31"/>
      <c r="D31" s="31"/>
      <c r="E31" s="35" t="str">
        <f aca="false">IF(OR(C31="",D31=""),"",MAX(1,D31-C31))</f>
        <v/>
      </c>
      <c r="F31" s="32"/>
      <c r="G31" s="36" t="str">
        <f aca="false">IF(B31="","",IFERROR(IF(N(INDEX(Fleet!$N$5:$N$79,MATCH(B31,Fleet!$A$5:$A$79,0)))&gt;0,INDEX(Fleet!$N$5:$N$79,MATCH(B31,Fleet!$A$5:$A$79,0)),Assumptions!$B$7),Assumptions!$B$7))</f>
        <v/>
      </c>
      <c r="H31" s="34" t="str">
        <f aca="false">IF(OR(F31="",G31=""),"",F31*G31)</f>
        <v/>
      </c>
      <c r="I31" s="32"/>
      <c r="J31" s="32"/>
      <c r="K31" s="37"/>
      <c r="L31" s="38" t="str">
        <f aca="false">IF(C31="","",DATE(YEAR(C31),MONTH(C31),1))</f>
        <v/>
      </c>
      <c r="M31" s="34" t="str">
        <f aca="false">IF(F31="","",N(H31)+N(I31)-N(J31))</f>
        <v/>
      </c>
      <c r="N31" s="29"/>
    </row>
    <row r="32" customFormat="false" ht="15" hidden="false" customHeight="false" outlineLevel="0" collapsed="false">
      <c r="A32" s="29"/>
      <c r="B32" s="29"/>
      <c r="C32" s="31"/>
      <c r="D32" s="31"/>
      <c r="E32" s="35" t="str">
        <f aca="false">IF(OR(C32="",D32=""),"",MAX(1,D32-C32))</f>
        <v/>
      </c>
      <c r="F32" s="32"/>
      <c r="G32" s="36" t="str">
        <f aca="false">IF(B32="","",IFERROR(IF(N(INDEX(Fleet!$N$5:$N$79,MATCH(B32,Fleet!$A$5:$A$79,0)))&gt;0,INDEX(Fleet!$N$5:$N$79,MATCH(B32,Fleet!$A$5:$A$79,0)),Assumptions!$B$7),Assumptions!$B$7))</f>
        <v/>
      </c>
      <c r="H32" s="34" t="str">
        <f aca="false">IF(OR(F32="",G32=""),"",F32*G32)</f>
        <v/>
      </c>
      <c r="I32" s="32"/>
      <c r="J32" s="32"/>
      <c r="K32" s="37"/>
      <c r="L32" s="38" t="str">
        <f aca="false">IF(C32="","",DATE(YEAR(C32),MONTH(C32),1))</f>
        <v/>
      </c>
      <c r="M32" s="34" t="str">
        <f aca="false">IF(F32="","",N(H32)+N(I32)-N(J32))</f>
        <v/>
      </c>
      <c r="N32" s="29"/>
    </row>
    <row r="33" customFormat="false" ht="15" hidden="false" customHeight="false" outlineLevel="0" collapsed="false">
      <c r="A33" s="29"/>
      <c r="B33" s="29"/>
      <c r="C33" s="31"/>
      <c r="D33" s="31"/>
      <c r="E33" s="35" t="str">
        <f aca="false">IF(OR(C33="",D33=""),"",MAX(1,D33-C33))</f>
        <v/>
      </c>
      <c r="F33" s="32"/>
      <c r="G33" s="36" t="str">
        <f aca="false">IF(B33="","",IFERROR(IF(N(INDEX(Fleet!$N$5:$N$79,MATCH(B33,Fleet!$A$5:$A$79,0)))&gt;0,INDEX(Fleet!$N$5:$N$79,MATCH(B33,Fleet!$A$5:$A$79,0)),Assumptions!$B$7),Assumptions!$B$7))</f>
        <v/>
      </c>
      <c r="H33" s="34" t="str">
        <f aca="false">IF(OR(F33="",G33=""),"",F33*G33)</f>
        <v/>
      </c>
      <c r="I33" s="32"/>
      <c r="J33" s="32"/>
      <c r="K33" s="37"/>
      <c r="L33" s="38" t="str">
        <f aca="false">IF(C33="","",DATE(YEAR(C33),MONTH(C33),1))</f>
        <v/>
      </c>
      <c r="M33" s="34" t="str">
        <f aca="false">IF(F33="","",N(H33)+N(I33)-N(J33))</f>
        <v/>
      </c>
      <c r="N33" s="29"/>
    </row>
    <row r="34" customFormat="false" ht="15" hidden="false" customHeight="false" outlineLevel="0" collapsed="false">
      <c r="A34" s="29"/>
      <c r="B34" s="29"/>
      <c r="C34" s="31"/>
      <c r="D34" s="31"/>
      <c r="E34" s="35" t="str">
        <f aca="false">IF(OR(C34="",D34=""),"",MAX(1,D34-C34))</f>
        <v/>
      </c>
      <c r="F34" s="32"/>
      <c r="G34" s="36" t="str">
        <f aca="false">IF(B34="","",IFERROR(IF(N(INDEX(Fleet!$N$5:$N$79,MATCH(B34,Fleet!$A$5:$A$79,0)))&gt;0,INDEX(Fleet!$N$5:$N$79,MATCH(B34,Fleet!$A$5:$A$79,0)),Assumptions!$B$7),Assumptions!$B$7))</f>
        <v/>
      </c>
      <c r="H34" s="34" t="str">
        <f aca="false">IF(OR(F34="",G34=""),"",F34*G34)</f>
        <v/>
      </c>
      <c r="I34" s="32"/>
      <c r="J34" s="32"/>
      <c r="K34" s="37"/>
      <c r="L34" s="38" t="str">
        <f aca="false">IF(C34="","",DATE(YEAR(C34),MONTH(C34),1))</f>
        <v/>
      </c>
      <c r="M34" s="34" t="str">
        <f aca="false">IF(F34="","",N(H34)+N(I34)-N(J34))</f>
        <v/>
      </c>
      <c r="N34" s="29"/>
    </row>
    <row r="35" customFormat="false" ht="15" hidden="false" customHeight="false" outlineLevel="0" collapsed="false">
      <c r="A35" s="29"/>
      <c r="B35" s="29"/>
      <c r="C35" s="31"/>
      <c r="D35" s="31"/>
      <c r="E35" s="35" t="str">
        <f aca="false">IF(OR(C35="",D35=""),"",MAX(1,D35-C35))</f>
        <v/>
      </c>
      <c r="F35" s="32"/>
      <c r="G35" s="36" t="str">
        <f aca="false">IF(B35="","",IFERROR(IF(N(INDEX(Fleet!$N$5:$N$79,MATCH(B35,Fleet!$A$5:$A$79,0)))&gt;0,INDEX(Fleet!$N$5:$N$79,MATCH(B35,Fleet!$A$5:$A$79,0)),Assumptions!$B$7),Assumptions!$B$7))</f>
        <v/>
      </c>
      <c r="H35" s="34" t="str">
        <f aca="false">IF(OR(F35="",G35=""),"",F35*G35)</f>
        <v/>
      </c>
      <c r="I35" s="32"/>
      <c r="J35" s="32"/>
      <c r="K35" s="37"/>
      <c r="L35" s="38" t="str">
        <f aca="false">IF(C35="","",DATE(YEAR(C35),MONTH(C35),1))</f>
        <v/>
      </c>
      <c r="M35" s="34" t="str">
        <f aca="false">IF(F35="","",N(H35)+N(I35)-N(J35))</f>
        <v/>
      </c>
      <c r="N35" s="29"/>
    </row>
    <row r="36" customFormat="false" ht="15" hidden="false" customHeight="false" outlineLevel="0" collapsed="false">
      <c r="A36" s="29"/>
      <c r="B36" s="29"/>
      <c r="C36" s="31"/>
      <c r="D36" s="31"/>
      <c r="E36" s="35" t="str">
        <f aca="false">IF(OR(C36="",D36=""),"",MAX(1,D36-C36))</f>
        <v/>
      </c>
      <c r="F36" s="32"/>
      <c r="G36" s="36" t="str">
        <f aca="false">IF(B36="","",IFERROR(IF(N(INDEX(Fleet!$N$5:$N$79,MATCH(B36,Fleet!$A$5:$A$79,0)))&gt;0,INDEX(Fleet!$N$5:$N$79,MATCH(B36,Fleet!$A$5:$A$79,0)),Assumptions!$B$7),Assumptions!$B$7))</f>
        <v/>
      </c>
      <c r="H36" s="34" t="str">
        <f aca="false">IF(OR(F36="",G36=""),"",F36*G36)</f>
        <v/>
      </c>
      <c r="I36" s="32"/>
      <c r="J36" s="32"/>
      <c r="K36" s="37"/>
      <c r="L36" s="38" t="str">
        <f aca="false">IF(C36="","",DATE(YEAR(C36),MONTH(C36),1))</f>
        <v/>
      </c>
      <c r="M36" s="34" t="str">
        <f aca="false">IF(F36="","",N(H36)+N(I36)-N(J36))</f>
        <v/>
      </c>
      <c r="N36" s="29"/>
    </row>
    <row r="37" customFormat="false" ht="15" hidden="false" customHeight="false" outlineLevel="0" collapsed="false">
      <c r="A37" s="29"/>
      <c r="B37" s="29"/>
      <c r="C37" s="31"/>
      <c r="D37" s="31"/>
      <c r="E37" s="35" t="str">
        <f aca="false">IF(OR(C37="",D37=""),"",MAX(1,D37-C37))</f>
        <v/>
      </c>
      <c r="F37" s="32"/>
      <c r="G37" s="36" t="str">
        <f aca="false">IF(B37="","",IFERROR(IF(N(INDEX(Fleet!$N$5:$N$79,MATCH(B37,Fleet!$A$5:$A$79,0)))&gt;0,INDEX(Fleet!$N$5:$N$79,MATCH(B37,Fleet!$A$5:$A$79,0)),Assumptions!$B$7),Assumptions!$B$7))</f>
        <v/>
      </c>
      <c r="H37" s="34" t="str">
        <f aca="false">IF(OR(F37="",G37=""),"",F37*G37)</f>
        <v/>
      </c>
      <c r="I37" s="32"/>
      <c r="J37" s="32"/>
      <c r="K37" s="37"/>
      <c r="L37" s="38" t="str">
        <f aca="false">IF(C37="","",DATE(YEAR(C37),MONTH(C37),1))</f>
        <v/>
      </c>
      <c r="M37" s="34" t="str">
        <f aca="false">IF(F37="","",N(H37)+N(I37)-N(J37))</f>
        <v/>
      </c>
      <c r="N37" s="29"/>
    </row>
    <row r="38" customFormat="false" ht="15" hidden="false" customHeight="false" outlineLevel="0" collapsed="false">
      <c r="A38" s="29"/>
      <c r="B38" s="29"/>
      <c r="C38" s="31"/>
      <c r="D38" s="31"/>
      <c r="E38" s="35" t="str">
        <f aca="false">IF(OR(C38="",D38=""),"",MAX(1,D38-C38))</f>
        <v/>
      </c>
      <c r="F38" s="32"/>
      <c r="G38" s="36" t="str">
        <f aca="false">IF(B38="","",IFERROR(IF(N(INDEX(Fleet!$N$5:$N$79,MATCH(B38,Fleet!$A$5:$A$79,0)))&gt;0,INDEX(Fleet!$N$5:$N$79,MATCH(B38,Fleet!$A$5:$A$79,0)),Assumptions!$B$7),Assumptions!$B$7))</f>
        <v/>
      </c>
      <c r="H38" s="34" t="str">
        <f aca="false">IF(OR(F38="",G38=""),"",F38*G38)</f>
        <v/>
      </c>
      <c r="I38" s="32"/>
      <c r="J38" s="32"/>
      <c r="K38" s="37"/>
      <c r="L38" s="38" t="str">
        <f aca="false">IF(C38="","",DATE(YEAR(C38),MONTH(C38),1))</f>
        <v/>
      </c>
      <c r="M38" s="34" t="str">
        <f aca="false">IF(F38="","",N(H38)+N(I38)-N(J38))</f>
        <v/>
      </c>
      <c r="N38" s="29"/>
    </row>
    <row r="39" customFormat="false" ht="15" hidden="false" customHeight="false" outlineLevel="0" collapsed="false">
      <c r="A39" s="29"/>
      <c r="B39" s="29"/>
      <c r="C39" s="31"/>
      <c r="D39" s="31"/>
      <c r="E39" s="35" t="str">
        <f aca="false">IF(OR(C39="",D39=""),"",MAX(1,D39-C39))</f>
        <v/>
      </c>
      <c r="F39" s="32"/>
      <c r="G39" s="36" t="str">
        <f aca="false">IF(B39="","",IFERROR(IF(N(INDEX(Fleet!$N$5:$N$79,MATCH(B39,Fleet!$A$5:$A$79,0)))&gt;0,INDEX(Fleet!$N$5:$N$79,MATCH(B39,Fleet!$A$5:$A$79,0)),Assumptions!$B$7),Assumptions!$B$7))</f>
        <v/>
      </c>
      <c r="H39" s="34" t="str">
        <f aca="false">IF(OR(F39="",G39=""),"",F39*G39)</f>
        <v/>
      </c>
      <c r="I39" s="32"/>
      <c r="J39" s="32"/>
      <c r="K39" s="37"/>
      <c r="L39" s="38" t="str">
        <f aca="false">IF(C39="","",DATE(YEAR(C39),MONTH(C39),1))</f>
        <v/>
      </c>
      <c r="M39" s="34" t="str">
        <f aca="false">IF(F39="","",N(H39)+N(I39)-N(J39))</f>
        <v/>
      </c>
      <c r="N39" s="29"/>
    </row>
    <row r="40" customFormat="false" ht="15" hidden="false" customHeight="false" outlineLevel="0" collapsed="false">
      <c r="A40" s="29"/>
      <c r="B40" s="29"/>
      <c r="C40" s="31"/>
      <c r="D40" s="31"/>
      <c r="E40" s="35" t="str">
        <f aca="false">IF(OR(C40="",D40=""),"",MAX(1,D40-C40))</f>
        <v/>
      </c>
      <c r="F40" s="32"/>
      <c r="G40" s="36" t="str">
        <f aca="false">IF(B40="","",IFERROR(IF(N(INDEX(Fleet!$N$5:$N$79,MATCH(B40,Fleet!$A$5:$A$79,0)))&gt;0,INDEX(Fleet!$N$5:$N$79,MATCH(B40,Fleet!$A$5:$A$79,0)),Assumptions!$B$7),Assumptions!$B$7))</f>
        <v/>
      </c>
      <c r="H40" s="34" t="str">
        <f aca="false">IF(OR(F40="",G40=""),"",F40*G40)</f>
        <v/>
      </c>
      <c r="I40" s="32"/>
      <c r="J40" s="32"/>
      <c r="K40" s="37"/>
      <c r="L40" s="38" t="str">
        <f aca="false">IF(C40="","",DATE(YEAR(C40),MONTH(C40),1))</f>
        <v/>
      </c>
      <c r="M40" s="34" t="str">
        <f aca="false">IF(F40="","",N(H40)+N(I40)-N(J40))</f>
        <v/>
      </c>
      <c r="N40" s="29"/>
    </row>
    <row r="41" customFormat="false" ht="15" hidden="false" customHeight="false" outlineLevel="0" collapsed="false">
      <c r="A41" s="29"/>
      <c r="B41" s="29"/>
      <c r="C41" s="31"/>
      <c r="D41" s="31"/>
      <c r="E41" s="35" t="str">
        <f aca="false">IF(OR(C41="",D41=""),"",MAX(1,D41-C41))</f>
        <v/>
      </c>
      <c r="F41" s="32"/>
      <c r="G41" s="36" t="str">
        <f aca="false">IF(B41="","",IFERROR(IF(N(INDEX(Fleet!$N$5:$N$79,MATCH(B41,Fleet!$A$5:$A$79,0)))&gt;0,INDEX(Fleet!$N$5:$N$79,MATCH(B41,Fleet!$A$5:$A$79,0)),Assumptions!$B$7),Assumptions!$B$7))</f>
        <v/>
      </c>
      <c r="H41" s="34" t="str">
        <f aca="false">IF(OR(F41="",G41=""),"",F41*G41)</f>
        <v/>
      </c>
      <c r="I41" s="32"/>
      <c r="J41" s="32"/>
      <c r="K41" s="37"/>
      <c r="L41" s="38" t="str">
        <f aca="false">IF(C41="","",DATE(YEAR(C41),MONTH(C41),1))</f>
        <v/>
      </c>
      <c r="M41" s="34" t="str">
        <f aca="false">IF(F41="","",N(H41)+N(I41)-N(J41))</f>
        <v/>
      </c>
      <c r="N41" s="29"/>
    </row>
    <row r="42" customFormat="false" ht="15" hidden="false" customHeight="false" outlineLevel="0" collapsed="false">
      <c r="A42" s="29"/>
      <c r="B42" s="29"/>
      <c r="C42" s="31"/>
      <c r="D42" s="31"/>
      <c r="E42" s="35" t="str">
        <f aca="false">IF(OR(C42="",D42=""),"",MAX(1,D42-C42))</f>
        <v/>
      </c>
      <c r="F42" s="32"/>
      <c r="G42" s="36" t="str">
        <f aca="false">IF(B42="","",IFERROR(IF(N(INDEX(Fleet!$N$5:$N$79,MATCH(B42,Fleet!$A$5:$A$79,0)))&gt;0,INDEX(Fleet!$N$5:$N$79,MATCH(B42,Fleet!$A$5:$A$79,0)),Assumptions!$B$7),Assumptions!$B$7))</f>
        <v/>
      </c>
      <c r="H42" s="34" t="str">
        <f aca="false">IF(OR(F42="",G42=""),"",F42*G42)</f>
        <v/>
      </c>
      <c r="I42" s="32"/>
      <c r="J42" s="32"/>
      <c r="K42" s="37"/>
      <c r="L42" s="38" t="str">
        <f aca="false">IF(C42="","",DATE(YEAR(C42),MONTH(C42),1))</f>
        <v/>
      </c>
      <c r="M42" s="34" t="str">
        <f aca="false">IF(F42="","",N(H42)+N(I42)-N(J42))</f>
        <v/>
      </c>
      <c r="N42" s="29"/>
    </row>
    <row r="43" customFormat="false" ht="15" hidden="false" customHeight="false" outlineLevel="0" collapsed="false">
      <c r="A43" s="29"/>
      <c r="B43" s="29"/>
      <c r="C43" s="31"/>
      <c r="D43" s="31"/>
      <c r="E43" s="35" t="str">
        <f aca="false">IF(OR(C43="",D43=""),"",MAX(1,D43-C43))</f>
        <v/>
      </c>
      <c r="F43" s="32"/>
      <c r="G43" s="36" t="str">
        <f aca="false">IF(B43="","",IFERROR(IF(N(INDEX(Fleet!$N$5:$N$79,MATCH(B43,Fleet!$A$5:$A$79,0)))&gt;0,INDEX(Fleet!$N$5:$N$79,MATCH(B43,Fleet!$A$5:$A$79,0)),Assumptions!$B$7),Assumptions!$B$7))</f>
        <v/>
      </c>
      <c r="H43" s="34" t="str">
        <f aca="false">IF(OR(F43="",G43=""),"",F43*G43)</f>
        <v/>
      </c>
      <c r="I43" s="32"/>
      <c r="J43" s="32"/>
      <c r="K43" s="37"/>
      <c r="L43" s="38" t="str">
        <f aca="false">IF(C43="","",DATE(YEAR(C43),MONTH(C43),1))</f>
        <v/>
      </c>
      <c r="M43" s="34" t="str">
        <f aca="false">IF(F43="","",N(H43)+N(I43)-N(J43))</f>
        <v/>
      </c>
      <c r="N43" s="29"/>
    </row>
    <row r="44" customFormat="false" ht="15" hidden="false" customHeight="false" outlineLevel="0" collapsed="false">
      <c r="A44" s="29"/>
      <c r="B44" s="29"/>
      <c r="C44" s="31"/>
      <c r="D44" s="31"/>
      <c r="E44" s="35" t="str">
        <f aca="false">IF(OR(C44="",D44=""),"",MAX(1,D44-C44))</f>
        <v/>
      </c>
      <c r="F44" s="32"/>
      <c r="G44" s="36" t="str">
        <f aca="false">IF(B44="","",IFERROR(IF(N(INDEX(Fleet!$N$5:$N$79,MATCH(B44,Fleet!$A$5:$A$79,0)))&gt;0,INDEX(Fleet!$N$5:$N$79,MATCH(B44,Fleet!$A$5:$A$79,0)),Assumptions!$B$7),Assumptions!$B$7))</f>
        <v/>
      </c>
      <c r="H44" s="34" t="str">
        <f aca="false">IF(OR(F44="",G44=""),"",F44*G44)</f>
        <v/>
      </c>
      <c r="I44" s="32"/>
      <c r="J44" s="32"/>
      <c r="K44" s="37"/>
      <c r="L44" s="38" t="str">
        <f aca="false">IF(C44="","",DATE(YEAR(C44),MONTH(C44),1))</f>
        <v/>
      </c>
      <c r="M44" s="34" t="str">
        <f aca="false">IF(F44="","",N(H44)+N(I44)-N(J44))</f>
        <v/>
      </c>
      <c r="N44" s="29"/>
    </row>
    <row r="45" customFormat="false" ht="15" hidden="false" customHeight="false" outlineLevel="0" collapsed="false">
      <c r="A45" s="29"/>
      <c r="B45" s="29"/>
      <c r="C45" s="31"/>
      <c r="D45" s="31"/>
      <c r="E45" s="35" t="str">
        <f aca="false">IF(OR(C45="",D45=""),"",MAX(1,D45-C45))</f>
        <v/>
      </c>
      <c r="F45" s="32"/>
      <c r="G45" s="36" t="str">
        <f aca="false">IF(B45="","",IFERROR(IF(N(INDEX(Fleet!$N$5:$N$79,MATCH(B45,Fleet!$A$5:$A$79,0)))&gt;0,INDEX(Fleet!$N$5:$N$79,MATCH(B45,Fleet!$A$5:$A$79,0)),Assumptions!$B$7),Assumptions!$B$7))</f>
        <v/>
      </c>
      <c r="H45" s="34" t="str">
        <f aca="false">IF(OR(F45="",G45=""),"",F45*G45)</f>
        <v/>
      </c>
      <c r="I45" s="32"/>
      <c r="J45" s="32"/>
      <c r="K45" s="37"/>
      <c r="L45" s="38" t="str">
        <f aca="false">IF(C45="","",DATE(YEAR(C45),MONTH(C45),1))</f>
        <v/>
      </c>
      <c r="M45" s="34" t="str">
        <f aca="false">IF(F45="","",N(H45)+N(I45)-N(J45))</f>
        <v/>
      </c>
      <c r="N45" s="29"/>
    </row>
    <row r="46" customFormat="false" ht="15" hidden="false" customHeight="false" outlineLevel="0" collapsed="false">
      <c r="A46" s="29"/>
      <c r="B46" s="29"/>
      <c r="C46" s="31"/>
      <c r="D46" s="31"/>
      <c r="E46" s="35" t="str">
        <f aca="false">IF(OR(C46="",D46=""),"",MAX(1,D46-C46))</f>
        <v/>
      </c>
      <c r="F46" s="32"/>
      <c r="G46" s="36" t="str">
        <f aca="false">IF(B46="","",IFERROR(IF(N(INDEX(Fleet!$N$5:$N$79,MATCH(B46,Fleet!$A$5:$A$79,0)))&gt;0,INDEX(Fleet!$N$5:$N$79,MATCH(B46,Fleet!$A$5:$A$79,0)),Assumptions!$B$7),Assumptions!$B$7))</f>
        <v/>
      </c>
      <c r="H46" s="34" t="str">
        <f aca="false">IF(OR(F46="",G46=""),"",F46*G46)</f>
        <v/>
      </c>
      <c r="I46" s="32"/>
      <c r="J46" s="32"/>
      <c r="K46" s="37"/>
      <c r="L46" s="38" t="str">
        <f aca="false">IF(C46="","",DATE(YEAR(C46),MONTH(C46),1))</f>
        <v/>
      </c>
      <c r="M46" s="34" t="str">
        <f aca="false">IF(F46="","",N(H46)+N(I46)-N(J46))</f>
        <v/>
      </c>
      <c r="N46" s="29"/>
    </row>
    <row r="47" customFormat="false" ht="15" hidden="false" customHeight="false" outlineLevel="0" collapsed="false">
      <c r="A47" s="29"/>
      <c r="B47" s="29"/>
      <c r="C47" s="31"/>
      <c r="D47" s="31"/>
      <c r="E47" s="35" t="str">
        <f aca="false">IF(OR(C47="",D47=""),"",MAX(1,D47-C47))</f>
        <v/>
      </c>
      <c r="F47" s="32"/>
      <c r="G47" s="36" t="str">
        <f aca="false">IF(B47="","",IFERROR(IF(N(INDEX(Fleet!$N$5:$N$79,MATCH(B47,Fleet!$A$5:$A$79,0)))&gt;0,INDEX(Fleet!$N$5:$N$79,MATCH(B47,Fleet!$A$5:$A$79,0)),Assumptions!$B$7),Assumptions!$B$7))</f>
        <v/>
      </c>
      <c r="H47" s="34" t="str">
        <f aca="false">IF(OR(F47="",G47=""),"",F47*G47)</f>
        <v/>
      </c>
      <c r="I47" s="32"/>
      <c r="J47" s="32"/>
      <c r="K47" s="37"/>
      <c r="L47" s="38" t="str">
        <f aca="false">IF(C47="","",DATE(YEAR(C47),MONTH(C47),1))</f>
        <v/>
      </c>
      <c r="M47" s="34" t="str">
        <f aca="false">IF(F47="","",N(H47)+N(I47)-N(J47))</f>
        <v/>
      </c>
      <c r="N47" s="29"/>
    </row>
    <row r="48" customFormat="false" ht="15" hidden="false" customHeight="false" outlineLevel="0" collapsed="false">
      <c r="A48" s="29"/>
      <c r="B48" s="29"/>
      <c r="C48" s="31"/>
      <c r="D48" s="31"/>
      <c r="E48" s="35" t="str">
        <f aca="false">IF(OR(C48="",D48=""),"",MAX(1,D48-C48))</f>
        <v/>
      </c>
      <c r="F48" s="32"/>
      <c r="G48" s="36" t="str">
        <f aca="false">IF(B48="","",IFERROR(IF(N(INDEX(Fleet!$N$5:$N$79,MATCH(B48,Fleet!$A$5:$A$79,0)))&gt;0,INDEX(Fleet!$N$5:$N$79,MATCH(B48,Fleet!$A$5:$A$79,0)),Assumptions!$B$7),Assumptions!$B$7))</f>
        <v/>
      </c>
      <c r="H48" s="34" t="str">
        <f aca="false">IF(OR(F48="",G48=""),"",F48*G48)</f>
        <v/>
      </c>
      <c r="I48" s="32"/>
      <c r="J48" s="32"/>
      <c r="K48" s="37"/>
      <c r="L48" s="38" t="str">
        <f aca="false">IF(C48="","",DATE(YEAR(C48),MONTH(C48),1))</f>
        <v/>
      </c>
      <c r="M48" s="34" t="str">
        <f aca="false">IF(F48="","",N(H48)+N(I48)-N(J48))</f>
        <v/>
      </c>
      <c r="N48" s="29"/>
    </row>
    <row r="49" customFormat="false" ht="15" hidden="false" customHeight="false" outlineLevel="0" collapsed="false">
      <c r="A49" s="29"/>
      <c r="B49" s="29"/>
      <c r="C49" s="31"/>
      <c r="D49" s="31"/>
      <c r="E49" s="35" t="str">
        <f aca="false">IF(OR(C49="",D49=""),"",MAX(1,D49-C49))</f>
        <v/>
      </c>
      <c r="F49" s="32"/>
      <c r="G49" s="36" t="str">
        <f aca="false">IF(B49="","",IFERROR(IF(N(INDEX(Fleet!$N$5:$N$79,MATCH(B49,Fleet!$A$5:$A$79,0)))&gt;0,INDEX(Fleet!$N$5:$N$79,MATCH(B49,Fleet!$A$5:$A$79,0)),Assumptions!$B$7),Assumptions!$B$7))</f>
        <v/>
      </c>
      <c r="H49" s="34" t="str">
        <f aca="false">IF(OR(F49="",G49=""),"",F49*G49)</f>
        <v/>
      </c>
      <c r="I49" s="32"/>
      <c r="J49" s="32"/>
      <c r="K49" s="37"/>
      <c r="L49" s="38" t="str">
        <f aca="false">IF(C49="","",DATE(YEAR(C49),MONTH(C49),1))</f>
        <v/>
      </c>
      <c r="M49" s="34" t="str">
        <f aca="false">IF(F49="","",N(H49)+N(I49)-N(J49))</f>
        <v/>
      </c>
      <c r="N49" s="29"/>
    </row>
    <row r="50" customFormat="false" ht="15" hidden="false" customHeight="false" outlineLevel="0" collapsed="false">
      <c r="A50" s="29"/>
      <c r="B50" s="29"/>
      <c r="C50" s="31"/>
      <c r="D50" s="31"/>
      <c r="E50" s="35" t="str">
        <f aca="false">IF(OR(C50="",D50=""),"",MAX(1,D50-C50))</f>
        <v/>
      </c>
      <c r="F50" s="32"/>
      <c r="G50" s="36" t="str">
        <f aca="false">IF(B50="","",IFERROR(IF(N(INDEX(Fleet!$N$5:$N$79,MATCH(B50,Fleet!$A$5:$A$79,0)))&gt;0,INDEX(Fleet!$N$5:$N$79,MATCH(B50,Fleet!$A$5:$A$79,0)),Assumptions!$B$7),Assumptions!$B$7))</f>
        <v/>
      </c>
      <c r="H50" s="34" t="str">
        <f aca="false">IF(OR(F50="",G50=""),"",F50*G50)</f>
        <v/>
      </c>
      <c r="I50" s="32"/>
      <c r="J50" s="32"/>
      <c r="K50" s="37"/>
      <c r="L50" s="38" t="str">
        <f aca="false">IF(C50="","",DATE(YEAR(C50),MONTH(C50),1))</f>
        <v/>
      </c>
      <c r="M50" s="34" t="str">
        <f aca="false">IF(F50="","",N(H50)+N(I50)-N(J50))</f>
        <v/>
      </c>
      <c r="N50" s="29"/>
    </row>
    <row r="51" customFormat="false" ht="15" hidden="false" customHeight="false" outlineLevel="0" collapsed="false">
      <c r="A51" s="29"/>
      <c r="B51" s="29"/>
      <c r="C51" s="31"/>
      <c r="D51" s="31"/>
      <c r="E51" s="35" t="str">
        <f aca="false">IF(OR(C51="",D51=""),"",MAX(1,D51-C51))</f>
        <v/>
      </c>
      <c r="F51" s="32"/>
      <c r="G51" s="36" t="str">
        <f aca="false">IF(B51="","",IFERROR(IF(N(INDEX(Fleet!$N$5:$N$79,MATCH(B51,Fleet!$A$5:$A$79,0)))&gt;0,INDEX(Fleet!$N$5:$N$79,MATCH(B51,Fleet!$A$5:$A$79,0)),Assumptions!$B$7),Assumptions!$B$7))</f>
        <v/>
      </c>
      <c r="H51" s="34" t="str">
        <f aca="false">IF(OR(F51="",G51=""),"",F51*G51)</f>
        <v/>
      </c>
      <c r="I51" s="32"/>
      <c r="J51" s="32"/>
      <c r="K51" s="37"/>
      <c r="L51" s="38" t="str">
        <f aca="false">IF(C51="","",DATE(YEAR(C51),MONTH(C51),1))</f>
        <v/>
      </c>
      <c r="M51" s="34" t="str">
        <f aca="false">IF(F51="","",N(H51)+N(I51)-N(J51))</f>
        <v/>
      </c>
      <c r="N51" s="29"/>
    </row>
    <row r="52" customFormat="false" ht="15" hidden="false" customHeight="false" outlineLevel="0" collapsed="false">
      <c r="A52" s="29"/>
      <c r="B52" s="29"/>
      <c r="C52" s="31"/>
      <c r="D52" s="31"/>
      <c r="E52" s="35" t="str">
        <f aca="false">IF(OR(C52="",D52=""),"",MAX(1,D52-C52))</f>
        <v/>
      </c>
      <c r="F52" s="32"/>
      <c r="G52" s="36" t="str">
        <f aca="false">IF(B52="","",IFERROR(IF(N(INDEX(Fleet!$N$5:$N$79,MATCH(B52,Fleet!$A$5:$A$79,0)))&gt;0,INDEX(Fleet!$N$5:$N$79,MATCH(B52,Fleet!$A$5:$A$79,0)),Assumptions!$B$7),Assumptions!$B$7))</f>
        <v/>
      </c>
      <c r="H52" s="34" t="str">
        <f aca="false">IF(OR(F52="",G52=""),"",F52*G52)</f>
        <v/>
      </c>
      <c r="I52" s="32"/>
      <c r="J52" s="32"/>
      <c r="K52" s="37"/>
      <c r="L52" s="38" t="str">
        <f aca="false">IF(C52="","",DATE(YEAR(C52),MONTH(C52),1))</f>
        <v/>
      </c>
      <c r="M52" s="34" t="str">
        <f aca="false">IF(F52="","",N(H52)+N(I52)-N(J52))</f>
        <v/>
      </c>
      <c r="N52" s="29"/>
    </row>
    <row r="53" customFormat="false" ht="15" hidden="false" customHeight="false" outlineLevel="0" collapsed="false">
      <c r="A53" s="29"/>
      <c r="B53" s="29"/>
      <c r="C53" s="31"/>
      <c r="D53" s="31"/>
      <c r="E53" s="35" t="str">
        <f aca="false">IF(OR(C53="",D53=""),"",MAX(1,D53-C53))</f>
        <v/>
      </c>
      <c r="F53" s="32"/>
      <c r="G53" s="36" t="str">
        <f aca="false">IF(B53="","",IFERROR(IF(N(INDEX(Fleet!$N$5:$N$79,MATCH(B53,Fleet!$A$5:$A$79,0)))&gt;0,INDEX(Fleet!$N$5:$N$79,MATCH(B53,Fleet!$A$5:$A$79,0)),Assumptions!$B$7),Assumptions!$B$7))</f>
        <v/>
      </c>
      <c r="H53" s="34" t="str">
        <f aca="false">IF(OR(F53="",G53=""),"",F53*G53)</f>
        <v/>
      </c>
      <c r="I53" s="32"/>
      <c r="J53" s="32"/>
      <c r="K53" s="37"/>
      <c r="L53" s="38" t="str">
        <f aca="false">IF(C53="","",DATE(YEAR(C53),MONTH(C53),1))</f>
        <v/>
      </c>
      <c r="M53" s="34" t="str">
        <f aca="false">IF(F53="","",N(H53)+N(I53)-N(J53))</f>
        <v/>
      </c>
      <c r="N53" s="29"/>
    </row>
    <row r="54" customFormat="false" ht="15" hidden="false" customHeight="false" outlineLevel="0" collapsed="false">
      <c r="A54" s="29"/>
      <c r="B54" s="29"/>
      <c r="C54" s="31"/>
      <c r="D54" s="31"/>
      <c r="E54" s="35" t="str">
        <f aca="false">IF(OR(C54="",D54=""),"",MAX(1,D54-C54))</f>
        <v/>
      </c>
      <c r="F54" s="32"/>
      <c r="G54" s="36" t="str">
        <f aca="false">IF(B54="","",IFERROR(IF(N(INDEX(Fleet!$N$5:$N$79,MATCH(B54,Fleet!$A$5:$A$79,0)))&gt;0,INDEX(Fleet!$N$5:$N$79,MATCH(B54,Fleet!$A$5:$A$79,0)),Assumptions!$B$7),Assumptions!$B$7))</f>
        <v/>
      </c>
      <c r="H54" s="34" t="str">
        <f aca="false">IF(OR(F54="",G54=""),"",F54*G54)</f>
        <v/>
      </c>
      <c r="I54" s="32"/>
      <c r="J54" s="32"/>
      <c r="K54" s="37"/>
      <c r="L54" s="38" t="str">
        <f aca="false">IF(C54="","",DATE(YEAR(C54),MONTH(C54),1))</f>
        <v/>
      </c>
      <c r="M54" s="34" t="str">
        <f aca="false">IF(F54="","",N(H54)+N(I54)-N(J54))</f>
        <v/>
      </c>
      <c r="N54" s="29"/>
    </row>
    <row r="55" customFormat="false" ht="15" hidden="false" customHeight="false" outlineLevel="0" collapsed="false">
      <c r="A55" s="29"/>
      <c r="B55" s="29"/>
      <c r="C55" s="31"/>
      <c r="D55" s="31"/>
      <c r="E55" s="35" t="str">
        <f aca="false">IF(OR(C55="",D55=""),"",MAX(1,D55-C55))</f>
        <v/>
      </c>
      <c r="F55" s="32"/>
      <c r="G55" s="36" t="str">
        <f aca="false">IF(B55="","",IFERROR(IF(N(INDEX(Fleet!$N$5:$N$79,MATCH(B55,Fleet!$A$5:$A$79,0)))&gt;0,INDEX(Fleet!$N$5:$N$79,MATCH(B55,Fleet!$A$5:$A$79,0)),Assumptions!$B$7),Assumptions!$B$7))</f>
        <v/>
      </c>
      <c r="H55" s="34" t="str">
        <f aca="false">IF(OR(F55="",G55=""),"",F55*G55)</f>
        <v/>
      </c>
      <c r="I55" s="32"/>
      <c r="J55" s="32"/>
      <c r="K55" s="37"/>
      <c r="L55" s="38" t="str">
        <f aca="false">IF(C55="","",DATE(YEAR(C55),MONTH(C55),1))</f>
        <v/>
      </c>
      <c r="M55" s="34" t="str">
        <f aca="false">IF(F55="","",N(H55)+N(I55)-N(J55))</f>
        <v/>
      </c>
      <c r="N55" s="29"/>
    </row>
    <row r="56" customFormat="false" ht="15" hidden="false" customHeight="false" outlineLevel="0" collapsed="false">
      <c r="A56" s="29"/>
      <c r="B56" s="29"/>
      <c r="C56" s="31"/>
      <c r="D56" s="31"/>
      <c r="E56" s="35" t="str">
        <f aca="false">IF(OR(C56="",D56=""),"",MAX(1,D56-C56))</f>
        <v/>
      </c>
      <c r="F56" s="32"/>
      <c r="G56" s="36" t="str">
        <f aca="false">IF(B56="","",IFERROR(IF(N(INDEX(Fleet!$N$5:$N$79,MATCH(B56,Fleet!$A$5:$A$79,0)))&gt;0,INDEX(Fleet!$N$5:$N$79,MATCH(B56,Fleet!$A$5:$A$79,0)),Assumptions!$B$7),Assumptions!$B$7))</f>
        <v/>
      </c>
      <c r="H56" s="34" t="str">
        <f aca="false">IF(OR(F56="",G56=""),"",F56*G56)</f>
        <v/>
      </c>
      <c r="I56" s="32"/>
      <c r="J56" s="32"/>
      <c r="K56" s="37"/>
      <c r="L56" s="38" t="str">
        <f aca="false">IF(C56="","",DATE(YEAR(C56),MONTH(C56),1))</f>
        <v/>
      </c>
      <c r="M56" s="34" t="str">
        <f aca="false">IF(F56="","",N(H56)+N(I56)-N(J56))</f>
        <v/>
      </c>
      <c r="N56" s="29"/>
    </row>
    <row r="57" customFormat="false" ht="15" hidden="false" customHeight="false" outlineLevel="0" collapsed="false">
      <c r="A57" s="29"/>
      <c r="B57" s="29"/>
      <c r="C57" s="31"/>
      <c r="D57" s="31"/>
      <c r="E57" s="35" t="str">
        <f aca="false">IF(OR(C57="",D57=""),"",MAX(1,D57-C57))</f>
        <v/>
      </c>
      <c r="F57" s="32"/>
      <c r="G57" s="36" t="str">
        <f aca="false">IF(B57="","",IFERROR(IF(N(INDEX(Fleet!$N$5:$N$79,MATCH(B57,Fleet!$A$5:$A$79,0)))&gt;0,INDEX(Fleet!$N$5:$N$79,MATCH(B57,Fleet!$A$5:$A$79,0)),Assumptions!$B$7),Assumptions!$B$7))</f>
        <v/>
      </c>
      <c r="H57" s="34" t="str">
        <f aca="false">IF(OR(F57="",G57=""),"",F57*G57)</f>
        <v/>
      </c>
      <c r="I57" s="32"/>
      <c r="J57" s="32"/>
      <c r="K57" s="37"/>
      <c r="L57" s="38" t="str">
        <f aca="false">IF(C57="","",DATE(YEAR(C57),MONTH(C57),1))</f>
        <v/>
      </c>
      <c r="M57" s="34" t="str">
        <f aca="false">IF(F57="","",N(H57)+N(I57)-N(J57))</f>
        <v/>
      </c>
      <c r="N57" s="29"/>
    </row>
    <row r="58" customFormat="false" ht="15" hidden="false" customHeight="false" outlineLevel="0" collapsed="false">
      <c r="A58" s="29"/>
      <c r="B58" s="29"/>
      <c r="C58" s="31"/>
      <c r="D58" s="31"/>
      <c r="E58" s="35" t="str">
        <f aca="false">IF(OR(C58="",D58=""),"",MAX(1,D58-C58))</f>
        <v/>
      </c>
      <c r="F58" s="32"/>
      <c r="G58" s="36" t="str">
        <f aca="false">IF(B58="","",IFERROR(IF(N(INDEX(Fleet!$N$5:$N$79,MATCH(B58,Fleet!$A$5:$A$79,0)))&gt;0,INDEX(Fleet!$N$5:$N$79,MATCH(B58,Fleet!$A$5:$A$79,0)),Assumptions!$B$7),Assumptions!$B$7))</f>
        <v/>
      </c>
      <c r="H58" s="34" t="str">
        <f aca="false">IF(OR(F58="",G58=""),"",F58*G58)</f>
        <v/>
      </c>
      <c r="I58" s="32"/>
      <c r="J58" s="32"/>
      <c r="K58" s="37"/>
      <c r="L58" s="38" t="str">
        <f aca="false">IF(C58="","",DATE(YEAR(C58),MONTH(C58),1))</f>
        <v/>
      </c>
      <c r="M58" s="34" t="str">
        <f aca="false">IF(F58="","",N(H58)+N(I58)-N(J58))</f>
        <v/>
      </c>
      <c r="N58" s="29"/>
    </row>
    <row r="59" customFormat="false" ht="15" hidden="false" customHeight="false" outlineLevel="0" collapsed="false">
      <c r="A59" s="29"/>
      <c r="B59" s="29"/>
      <c r="C59" s="31"/>
      <c r="D59" s="31"/>
      <c r="E59" s="35" t="str">
        <f aca="false">IF(OR(C59="",D59=""),"",MAX(1,D59-C59))</f>
        <v/>
      </c>
      <c r="F59" s="32"/>
      <c r="G59" s="36" t="str">
        <f aca="false">IF(B59="","",IFERROR(IF(N(INDEX(Fleet!$N$5:$N$79,MATCH(B59,Fleet!$A$5:$A$79,0)))&gt;0,INDEX(Fleet!$N$5:$N$79,MATCH(B59,Fleet!$A$5:$A$79,0)),Assumptions!$B$7),Assumptions!$B$7))</f>
        <v/>
      </c>
      <c r="H59" s="34" t="str">
        <f aca="false">IF(OR(F59="",G59=""),"",F59*G59)</f>
        <v/>
      </c>
      <c r="I59" s="32"/>
      <c r="J59" s="32"/>
      <c r="K59" s="37"/>
      <c r="L59" s="38" t="str">
        <f aca="false">IF(C59="","",DATE(YEAR(C59),MONTH(C59),1))</f>
        <v/>
      </c>
      <c r="M59" s="34" t="str">
        <f aca="false">IF(F59="","",N(H59)+N(I59)-N(J59))</f>
        <v/>
      </c>
      <c r="N59" s="29"/>
    </row>
    <row r="60" customFormat="false" ht="15" hidden="false" customHeight="false" outlineLevel="0" collapsed="false">
      <c r="A60" s="29"/>
      <c r="B60" s="29"/>
      <c r="C60" s="31"/>
      <c r="D60" s="31"/>
      <c r="E60" s="35" t="str">
        <f aca="false">IF(OR(C60="",D60=""),"",MAX(1,D60-C60))</f>
        <v/>
      </c>
      <c r="F60" s="32"/>
      <c r="G60" s="36" t="str">
        <f aca="false">IF(B60="","",IFERROR(IF(N(INDEX(Fleet!$N$5:$N$79,MATCH(B60,Fleet!$A$5:$A$79,0)))&gt;0,INDEX(Fleet!$N$5:$N$79,MATCH(B60,Fleet!$A$5:$A$79,0)),Assumptions!$B$7),Assumptions!$B$7))</f>
        <v/>
      </c>
      <c r="H60" s="34" t="str">
        <f aca="false">IF(OR(F60="",G60=""),"",F60*G60)</f>
        <v/>
      </c>
      <c r="I60" s="32"/>
      <c r="J60" s="32"/>
      <c r="K60" s="37"/>
      <c r="L60" s="38" t="str">
        <f aca="false">IF(C60="","",DATE(YEAR(C60),MONTH(C60),1))</f>
        <v/>
      </c>
      <c r="M60" s="34" t="str">
        <f aca="false">IF(F60="","",N(H60)+N(I60)-N(J60))</f>
        <v/>
      </c>
      <c r="N60" s="29"/>
    </row>
    <row r="61" customFormat="false" ht="15" hidden="false" customHeight="false" outlineLevel="0" collapsed="false">
      <c r="A61" s="29"/>
      <c r="B61" s="29"/>
      <c r="C61" s="31"/>
      <c r="D61" s="31"/>
      <c r="E61" s="35" t="str">
        <f aca="false">IF(OR(C61="",D61=""),"",MAX(1,D61-C61))</f>
        <v/>
      </c>
      <c r="F61" s="32"/>
      <c r="G61" s="36" t="str">
        <f aca="false">IF(B61="","",IFERROR(IF(N(INDEX(Fleet!$N$5:$N$79,MATCH(B61,Fleet!$A$5:$A$79,0)))&gt;0,INDEX(Fleet!$N$5:$N$79,MATCH(B61,Fleet!$A$5:$A$79,0)),Assumptions!$B$7),Assumptions!$B$7))</f>
        <v/>
      </c>
      <c r="H61" s="34" t="str">
        <f aca="false">IF(OR(F61="",G61=""),"",F61*G61)</f>
        <v/>
      </c>
      <c r="I61" s="32"/>
      <c r="J61" s="32"/>
      <c r="K61" s="37"/>
      <c r="L61" s="38" t="str">
        <f aca="false">IF(C61="","",DATE(YEAR(C61),MONTH(C61),1))</f>
        <v/>
      </c>
      <c r="M61" s="34" t="str">
        <f aca="false">IF(F61="","",N(H61)+N(I61)-N(J61))</f>
        <v/>
      </c>
      <c r="N61" s="29"/>
    </row>
    <row r="62" customFormat="false" ht="15" hidden="false" customHeight="false" outlineLevel="0" collapsed="false">
      <c r="A62" s="29"/>
      <c r="B62" s="29"/>
      <c r="C62" s="31"/>
      <c r="D62" s="31"/>
      <c r="E62" s="35" t="str">
        <f aca="false">IF(OR(C62="",D62=""),"",MAX(1,D62-C62))</f>
        <v/>
      </c>
      <c r="F62" s="32"/>
      <c r="G62" s="36" t="str">
        <f aca="false">IF(B62="","",IFERROR(IF(N(INDEX(Fleet!$N$5:$N$79,MATCH(B62,Fleet!$A$5:$A$79,0)))&gt;0,INDEX(Fleet!$N$5:$N$79,MATCH(B62,Fleet!$A$5:$A$79,0)),Assumptions!$B$7),Assumptions!$B$7))</f>
        <v/>
      </c>
      <c r="H62" s="34" t="str">
        <f aca="false">IF(OR(F62="",G62=""),"",F62*G62)</f>
        <v/>
      </c>
      <c r="I62" s="32"/>
      <c r="J62" s="32"/>
      <c r="K62" s="37"/>
      <c r="L62" s="38" t="str">
        <f aca="false">IF(C62="","",DATE(YEAR(C62),MONTH(C62),1))</f>
        <v/>
      </c>
      <c r="M62" s="34" t="str">
        <f aca="false">IF(F62="","",N(H62)+N(I62)-N(J62))</f>
        <v/>
      </c>
      <c r="N62" s="29"/>
    </row>
    <row r="63" customFormat="false" ht="15" hidden="false" customHeight="false" outlineLevel="0" collapsed="false">
      <c r="A63" s="29"/>
      <c r="B63" s="29"/>
      <c r="C63" s="31"/>
      <c r="D63" s="31"/>
      <c r="E63" s="35" t="str">
        <f aca="false">IF(OR(C63="",D63=""),"",MAX(1,D63-C63))</f>
        <v/>
      </c>
      <c r="F63" s="32"/>
      <c r="G63" s="36" t="str">
        <f aca="false">IF(B63="","",IFERROR(IF(N(INDEX(Fleet!$N$5:$N$79,MATCH(B63,Fleet!$A$5:$A$79,0)))&gt;0,INDEX(Fleet!$N$5:$N$79,MATCH(B63,Fleet!$A$5:$A$79,0)),Assumptions!$B$7),Assumptions!$B$7))</f>
        <v/>
      </c>
      <c r="H63" s="34" t="str">
        <f aca="false">IF(OR(F63="",G63=""),"",F63*G63)</f>
        <v/>
      </c>
      <c r="I63" s="32"/>
      <c r="J63" s="32"/>
      <c r="K63" s="37"/>
      <c r="L63" s="38" t="str">
        <f aca="false">IF(C63="","",DATE(YEAR(C63),MONTH(C63),1))</f>
        <v/>
      </c>
      <c r="M63" s="34" t="str">
        <f aca="false">IF(F63="","",N(H63)+N(I63)-N(J63))</f>
        <v/>
      </c>
      <c r="N63" s="29"/>
    </row>
    <row r="64" customFormat="false" ht="15" hidden="false" customHeight="false" outlineLevel="0" collapsed="false">
      <c r="A64" s="29"/>
      <c r="B64" s="29"/>
      <c r="C64" s="31"/>
      <c r="D64" s="31"/>
      <c r="E64" s="35" t="str">
        <f aca="false">IF(OR(C64="",D64=""),"",MAX(1,D64-C64))</f>
        <v/>
      </c>
      <c r="F64" s="32"/>
      <c r="G64" s="36" t="str">
        <f aca="false">IF(B64="","",IFERROR(IF(N(INDEX(Fleet!$N$5:$N$79,MATCH(B64,Fleet!$A$5:$A$79,0)))&gt;0,INDEX(Fleet!$N$5:$N$79,MATCH(B64,Fleet!$A$5:$A$79,0)),Assumptions!$B$7),Assumptions!$B$7))</f>
        <v/>
      </c>
      <c r="H64" s="34" t="str">
        <f aca="false">IF(OR(F64="",G64=""),"",F64*G64)</f>
        <v/>
      </c>
      <c r="I64" s="32"/>
      <c r="J64" s="32"/>
      <c r="K64" s="37"/>
      <c r="L64" s="38" t="str">
        <f aca="false">IF(C64="","",DATE(YEAR(C64),MONTH(C64),1))</f>
        <v/>
      </c>
      <c r="M64" s="34" t="str">
        <f aca="false">IF(F64="","",N(H64)+N(I64)-N(J64))</f>
        <v/>
      </c>
      <c r="N64" s="29"/>
    </row>
    <row r="65" customFormat="false" ht="15" hidden="false" customHeight="false" outlineLevel="0" collapsed="false">
      <c r="A65" s="29"/>
      <c r="B65" s="29"/>
      <c r="C65" s="31"/>
      <c r="D65" s="31"/>
      <c r="E65" s="35" t="str">
        <f aca="false">IF(OR(C65="",D65=""),"",MAX(1,D65-C65))</f>
        <v/>
      </c>
      <c r="F65" s="32"/>
      <c r="G65" s="36" t="str">
        <f aca="false">IF(B65="","",IFERROR(IF(N(INDEX(Fleet!$N$5:$N$79,MATCH(B65,Fleet!$A$5:$A$79,0)))&gt;0,INDEX(Fleet!$N$5:$N$79,MATCH(B65,Fleet!$A$5:$A$79,0)),Assumptions!$B$7),Assumptions!$B$7))</f>
        <v/>
      </c>
      <c r="H65" s="34" t="str">
        <f aca="false">IF(OR(F65="",G65=""),"",F65*G65)</f>
        <v/>
      </c>
      <c r="I65" s="32"/>
      <c r="J65" s="32"/>
      <c r="K65" s="37"/>
      <c r="L65" s="38" t="str">
        <f aca="false">IF(C65="","",DATE(YEAR(C65),MONTH(C65),1))</f>
        <v/>
      </c>
      <c r="M65" s="34" t="str">
        <f aca="false">IF(F65="","",N(H65)+N(I65)-N(J65))</f>
        <v/>
      </c>
      <c r="N65" s="29"/>
    </row>
    <row r="66" customFormat="false" ht="15" hidden="false" customHeight="false" outlineLevel="0" collapsed="false">
      <c r="A66" s="29"/>
      <c r="B66" s="29"/>
      <c r="C66" s="31"/>
      <c r="D66" s="31"/>
      <c r="E66" s="35" t="str">
        <f aca="false">IF(OR(C66="",D66=""),"",MAX(1,D66-C66))</f>
        <v/>
      </c>
      <c r="F66" s="32"/>
      <c r="G66" s="36" t="str">
        <f aca="false">IF(B66="","",IFERROR(IF(N(INDEX(Fleet!$N$5:$N$79,MATCH(B66,Fleet!$A$5:$A$79,0)))&gt;0,INDEX(Fleet!$N$5:$N$79,MATCH(B66,Fleet!$A$5:$A$79,0)),Assumptions!$B$7),Assumptions!$B$7))</f>
        <v/>
      </c>
      <c r="H66" s="34" t="str">
        <f aca="false">IF(OR(F66="",G66=""),"",F66*G66)</f>
        <v/>
      </c>
      <c r="I66" s="32"/>
      <c r="J66" s="32"/>
      <c r="K66" s="37"/>
      <c r="L66" s="38" t="str">
        <f aca="false">IF(C66="","",DATE(YEAR(C66),MONTH(C66),1))</f>
        <v/>
      </c>
      <c r="M66" s="34" t="str">
        <f aca="false">IF(F66="","",N(H66)+N(I66)-N(J66))</f>
        <v/>
      </c>
      <c r="N66" s="29"/>
    </row>
    <row r="67" customFormat="false" ht="15" hidden="false" customHeight="false" outlineLevel="0" collapsed="false">
      <c r="A67" s="29"/>
      <c r="B67" s="29"/>
      <c r="C67" s="31"/>
      <c r="D67" s="31"/>
      <c r="E67" s="35" t="str">
        <f aca="false">IF(OR(C67="",D67=""),"",MAX(1,D67-C67))</f>
        <v/>
      </c>
      <c r="F67" s="32"/>
      <c r="G67" s="36" t="str">
        <f aca="false">IF(B67="","",IFERROR(IF(N(INDEX(Fleet!$N$5:$N$79,MATCH(B67,Fleet!$A$5:$A$79,0)))&gt;0,INDEX(Fleet!$N$5:$N$79,MATCH(B67,Fleet!$A$5:$A$79,0)),Assumptions!$B$7),Assumptions!$B$7))</f>
        <v/>
      </c>
      <c r="H67" s="34" t="str">
        <f aca="false">IF(OR(F67="",G67=""),"",F67*G67)</f>
        <v/>
      </c>
      <c r="I67" s="32"/>
      <c r="J67" s="32"/>
      <c r="K67" s="37"/>
      <c r="L67" s="38" t="str">
        <f aca="false">IF(C67="","",DATE(YEAR(C67),MONTH(C67),1))</f>
        <v/>
      </c>
      <c r="M67" s="34" t="str">
        <f aca="false">IF(F67="","",N(H67)+N(I67)-N(J67))</f>
        <v/>
      </c>
      <c r="N67" s="29"/>
    </row>
    <row r="68" customFormat="false" ht="15" hidden="false" customHeight="false" outlineLevel="0" collapsed="false">
      <c r="A68" s="29"/>
      <c r="B68" s="29"/>
      <c r="C68" s="31"/>
      <c r="D68" s="31"/>
      <c r="E68" s="35" t="str">
        <f aca="false">IF(OR(C68="",D68=""),"",MAX(1,D68-C68))</f>
        <v/>
      </c>
      <c r="F68" s="32"/>
      <c r="G68" s="36" t="str">
        <f aca="false">IF(B68="","",IFERROR(IF(N(INDEX(Fleet!$N$5:$N$79,MATCH(B68,Fleet!$A$5:$A$79,0)))&gt;0,INDEX(Fleet!$N$5:$N$79,MATCH(B68,Fleet!$A$5:$A$79,0)),Assumptions!$B$7),Assumptions!$B$7))</f>
        <v/>
      </c>
      <c r="H68" s="34" t="str">
        <f aca="false">IF(OR(F68="",G68=""),"",F68*G68)</f>
        <v/>
      </c>
      <c r="I68" s="32"/>
      <c r="J68" s="32"/>
      <c r="K68" s="37"/>
      <c r="L68" s="38" t="str">
        <f aca="false">IF(C68="","",DATE(YEAR(C68),MONTH(C68),1))</f>
        <v/>
      </c>
      <c r="M68" s="34" t="str">
        <f aca="false">IF(F68="","",N(H68)+N(I68)-N(J68))</f>
        <v/>
      </c>
      <c r="N68" s="29"/>
    </row>
    <row r="69" customFormat="false" ht="15" hidden="false" customHeight="false" outlineLevel="0" collapsed="false">
      <c r="A69" s="29"/>
      <c r="B69" s="29"/>
      <c r="C69" s="31"/>
      <c r="D69" s="31"/>
      <c r="E69" s="35" t="str">
        <f aca="false">IF(OR(C69="",D69=""),"",MAX(1,D69-C69))</f>
        <v/>
      </c>
      <c r="F69" s="32"/>
      <c r="G69" s="36" t="str">
        <f aca="false">IF(B69="","",IFERROR(IF(N(INDEX(Fleet!$N$5:$N$79,MATCH(B69,Fleet!$A$5:$A$79,0)))&gt;0,INDEX(Fleet!$N$5:$N$79,MATCH(B69,Fleet!$A$5:$A$79,0)),Assumptions!$B$7),Assumptions!$B$7))</f>
        <v/>
      </c>
      <c r="H69" s="34" t="str">
        <f aca="false">IF(OR(F69="",G69=""),"",F69*G69)</f>
        <v/>
      </c>
      <c r="I69" s="32"/>
      <c r="J69" s="32"/>
      <c r="K69" s="37"/>
      <c r="L69" s="38" t="str">
        <f aca="false">IF(C69="","",DATE(YEAR(C69),MONTH(C69),1))</f>
        <v/>
      </c>
      <c r="M69" s="34" t="str">
        <f aca="false">IF(F69="","",N(H69)+N(I69)-N(J69))</f>
        <v/>
      </c>
      <c r="N69" s="29"/>
    </row>
    <row r="70" customFormat="false" ht="15" hidden="false" customHeight="false" outlineLevel="0" collapsed="false">
      <c r="A70" s="29"/>
      <c r="B70" s="29"/>
      <c r="C70" s="31"/>
      <c r="D70" s="31"/>
      <c r="E70" s="35" t="str">
        <f aca="false">IF(OR(C70="",D70=""),"",MAX(1,D70-C70))</f>
        <v/>
      </c>
      <c r="F70" s="32"/>
      <c r="G70" s="36" t="str">
        <f aca="false">IF(B70="","",IFERROR(IF(N(INDEX(Fleet!$N$5:$N$79,MATCH(B70,Fleet!$A$5:$A$79,0)))&gt;0,INDEX(Fleet!$N$5:$N$79,MATCH(B70,Fleet!$A$5:$A$79,0)),Assumptions!$B$7),Assumptions!$B$7))</f>
        <v/>
      </c>
      <c r="H70" s="34" t="str">
        <f aca="false">IF(OR(F70="",G70=""),"",F70*G70)</f>
        <v/>
      </c>
      <c r="I70" s="32"/>
      <c r="J70" s="32"/>
      <c r="K70" s="37"/>
      <c r="L70" s="38" t="str">
        <f aca="false">IF(C70="","",DATE(YEAR(C70),MONTH(C70),1))</f>
        <v/>
      </c>
      <c r="M70" s="34" t="str">
        <f aca="false">IF(F70="","",N(H70)+N(I70)-N(J70))</f>
        <v/>
      </c>
      <c r="N70" s="29"/>
    </row>
    <row r="71" customFormat="false" ht="15" hidden="false" customHeight="false" outlineLevel="0" collapsed="false">
      <c r="A71" s="29"/>
      <c r="B71" s="29"/>
      <c r="C71" s="31"/>
      <c r="D71" s="31"/>
      <c r="E71" s="35" t="str">
        <f aca="false">IF(OR(C71="",D71=""),"",MAX(1,D71-C71))</f>
        <v/>
      </c>
      <c r="F71" s="32"/>
      <c r="G71" s="36" t="str">
        <f aca="false">IF(B71="","",IFERROR(IF(N(INDEX(Fleet!$N$5:$N$79,MATCH(B71,Fleet!$A$5:$A$79,0)))&gt;0,INDEX(Fleet!$N$5:$N$79,MATCH(B71,Fleet!$A$5:$A$79,0)),Assumptions!$B$7),Assumptions!$B$7))</f>
        <v/>
      </c>
      <c r="H71" s="34" t="str">
        <f aca="false">IF(OR(F71="",G71=""),"",F71*G71)</f>
        <v/>
      </c>
      <c r="I71" s="32"/>
      <c r="J71" s="32"/>
      <c r="K71" s="37"/>
      <c r="L71" s="38" t="str">
        <f aca="false">IF(C71="","",DATE(YEAR(C71),MONTH(C71),1))</f>
        <v/>
      </c>
      <c r="M71" s="34" t="str">
        <f aca="false">IF(F71="","",N(H71)+N(I71)-N(J71))</f>
        <v/>
      </c>
      <c r="N71" s="29"/>
    </row>
    <row r="72" customFormat="false" ht="15" hidden="false" customHeight="false" outlineLevel="0" collapsed="false">
      <c r="A72" s="29"/>
      <c r="B72" s="29"/>
      <c r="C72" s="31"/>
      <c r="D72" s="31"/>
      <c r="E72" s="35" t="str">
        <f aca="false">IF(OR(C72="",D72=""),"",MAX(1,D72-C72))</f>
        <v/>
      </c>
      <c r="F72" s="32"/>
      <c r="G72" s="36" t="str">
        <f aca="false">IF(B72="","",IFERROR(IF(N(INDEX(Fleet!$N$5:$N$79,MATCH(B72,Fleet!$A$5:$A$79,0)))&gt;0,INDEX(Fleet!$N$5:$N$79,MATCH(B72,Fleet!$A$5:$A$79,0)),Assumptions!$B$7),Assumptions!$B$7))</f>
        <v/>
      </c>
      <c r="H72" s="34" t="str">
        <f aca="false">IF(OR(F72="",G72=""),"",F72*G72)</f>
        <v/>
      </c>
      <c r="I72" s="32"/>
      <c r="J72" s="32"/>
      <c r="K72" s="37"/>
      <c r="L72" s="38" t="str">
        <f aca="false">IF(C72="","",DATE(YEAR(C72),MONTH(C72),1))</f>
        <v/>
      </c>
      <c r="M72" s="34" t="str">
        <f aca="false">IF(F72="","",N(H72)+N(I72)-N(J72))</f>
        <v/>
      </c>
      <c r="N72" s="29"/>
    </row>
    <row r="73" customFormat="false" ht="15" hidden="false" customHeight="false" outlineLevel="0" collapsed="false">
      <c r="A73" s="29"/>
      <c r="B73" s="29"/>
      <c r="C73" s="31"/>
      <c r="D73" s="31"/>
      <c r="E73" s="35" t="str">
        <f aca="false">IF(OR(C73="",D73=""),"",MAX(1,D73-C73))</f>
        <v/>
      </c>
      <c r="F73" s="32"/>
      <c r="G73" s="36" t="str">
        <f aca="false">IF(B73="","",IFERROR(IF(N(INDEX(Fleet!$N$5:$N$79,MATCH(B73,Fleet!$A$5:$A$79,0)))&gt;0,INDEX(Fleet!$N$5:$N$79,MATCH(B73,Fleet!$A$5:$A$79,0)),Assumptions!$B$7),Assumptions!$B$7))</f>
        <v/>
      </c>
      <c r="H73" s="34" t="str">
        <f aca="false">IF(OR(F73="",G73=""),"",F73*G73)</f>
        <v/>
      </c>
      <c r="I73" s="32"/>
      <c r="J73" s="32"/>
      <c r="K73" s="37"/>
      <c r="L73" s="38" t="str">
        <f aca="false">IF(C73="","",DATE(YEAR(C73),MONTH(C73),1))</f>
        <v/>
      </c>
      <c r="M73" s="34" t="str">
        <f aca="false">IF(F73="","",N(H73)+N(I73)-N(J73))</f>
        <v/>
      </c>
      <c r="N73" s="29"/>
    </row>
    <row r="74" customFormat="false" ht="15" hidden="false" customHeight="false" outlineLevel="0" collapsed="false">
      <c r="A74" s="29"/>
      <c r="B74" s="29"/>
      <c r="C74" s="31"/>
      <c r="D74" s="31"/>
      <c r="E74" s="35" t="str">
        <f aca="false">IF(OR(C74="",D74=""),"",MAX(1,D74-C74))</f>
        <v/>
      </c>
      <c r="F74" s="32"/>
      <c r="G74" s="36" t="str">
        <f aca="false">IF(B74="","",IFERROR(IF(N(INDEX(Fleet!$N$5:$N$79,MATCH(B74,Fleet!$A$5:$A$79,0)))&gt;0,INDEX(Fleet!$N$5:$N$79,MATCH(B74,Fleet!$A$5:$A$79,0)),Assumptions!$B$7),Assumptions!$B$7))</f>
        <v/>
      </c>
      <c r="H74" s="34" t="str">
        <f aca="false">IF(OR(F74="",G74=""),"",F74*G74)</f>
        <v/>
      </c>
      <c r="I74" s="32"/>
      <c r="J74" s="32"/>
      <c r="K74" s="37"/>
      <c r="L74" s="38" t="str">
        <f aca="false">IF(C74="","",DATE(YEAR(C74),MONTH(C74),1))</f>
        <v/>
      </c>
      <c r="M74" s="34" t="str">
        <f aca="false">IF(F74="","",N(H74)+N(I74)-N(J74))</f>
        <v/>
      </c>
      <c r="N74" s="29"/>
    </row>
    <row r="75" customFormat="false" ht="15" hidden="false" customHeight="false" outlineLevel="0" collapsed="false">
      <c r="A75" s="29"/>
      <c r="B75" s="29"/>
      <c r="C75" s="31"/>
      <c r="D75" s="31"/>
      <c r="E75" s="35" t="str">
        <f aca="false">IF(OR(C75="",D75=""),"",MAX(1,D75-C75))</f>
        <v/>
      </c>
      <c r="F75" s="32"/>
      <c r="G75" s="36" t="str">
        <f aca="false">IF(B75="","",IFERROR(IF(N(INDEX(Fleet!$N$5:$N$79,MATCH(B75,Fleet!$A$5:$A$79,0)))&gt;0,INDEX(Fleet!$N$5:$N$79,MATCH(B75,Fleet!$A$5:$A$79,0)),Assumptions!$B$7),Assumptions!$B$7))</f>
        <v/>
      </c>
      <c r="H75" s="34" t="str">
        <f aca="false">IF(OR(F75="",G75=""),"",F75*G75)</f>
        <v/>
      </c>
      <c r="I75" s="32"/>
      <c r="J75" s="32"/>
      <c r="K75" s="37"/>
      <c r="L75" s="38" t="str">
        <f aca="false">IF(C75="","",DATE(YEAR(C75),MONTH(C75),1))</f>
        <v/>
      </c>
      <c r="M75" s="34" t="str">
        <f aca="false">IF(F75="","",N(H75)+N(I75)-N(J75))</f>
        <v/>
      </c>
      <c r="N75" s="29"/>
    </row>
    <row r="76" customFormat="false" ht="15" hidden="false" customHeight="false" outlineLevel="0" collapsed="false">
      <c r="A76" s="29"/>
      <c r="B76" s="29"/>
      <c r="C76" s="31"/>
      <c r="D76" s="31"/>
      <c r="E76" s="35" t="str">
        <f aca="false">IF(OR(C76="",D76=""),"",MAX(1,D76-C76))</f>
        <v/>
      </c>
      <c r="F76" s="32"/>
      <c r="G76" s="36" t="str">
        <f aca="false">IF(B76="","",IFERROR(IF(N(INDEX(Fleet!$N$5:$N$79,MATCH(B76,Fleet!$A$5:$A$79,0)))&gt;0,INDEX(Fleet!$N$5:$N$79,MATCH(B76,Fleet!$A$5:$A$79,0)),Assumptions!$B$7),Assumptions!$B$7))</f>
        <v/>
      </c>
      <c r="H76" s="34" t="str">
        <f aca="false">IF(OR(F76="",G76=""),"",F76*G76)</f>
        <v/>
      </c>
      <c r="I76" s="32"/>
      <c r="J76" s="32"/>
      <c r="K76" s="37"/>
      <c r="L76" s="38" t="str">
        <f aca="false">IF(C76="","",DATE(YEAR(C76),MONTH(C76),1))</f>
        <v/>
      </c>
      <c r="M76" s="34" t="str">
        <f aca="false">IF(F76="","",N(H76)+N(I76)-N(J76))</f>
        <v/>
      </c>
      <c r="N76" s="29"/>
    </row>
    <row r="77" customFormat="false" ht="15" hidden="false" customHeight="false" outlineLevel="0" collapsed="false">
      <c r="A77" s="29"/>
      <c r="B77" s="29"/>
      <c r="C77" s="31"/>
      <c r="D77" s="31"/>
      <c r="E77" s="35" t="str">
        <f aca="false">IF(OR(C77="",D77=""),"",MAX(1,D77-C77))</f>
        <v/>
      </c>
      <c r="F77" s="32"/>
      <c r="G77" s="36" t="str">
        <f aca="false">IF(B77="","",IFERROR(IF(N(INDEX(Fleet!$N$5:$N$79,MATCH(B77,Fleet!$A$5:$A$79,0)))&gt;0,INDEX(Fleet!$N$5:$N$79,MATCH(B77,Fleet!$A$5:$A$79,0)),Assumptions!$B$7),Assumptions!$B$7))</f>
        <v/>
      </c>
      <c r="H77" s="34" t="str">
        <f aca="false">IF(OR(F77="",G77=""),"",F77*G77)</f>
        <v/>
      </c>
      <c r="I77" s="32"/>
      <c r="J77" s="32"/>
      <c r="K77" s="37"/>
      <c r="L77" s="38" t="str">
        <f aca="false">IF(C77="","",DATE(YEAR(C77),MONTH(C77),1))</f>
        <v/>
      </c>
      <c r="M77" s="34" t="str">
        <f aca="false">IF(F77="","",N(H77)+N(I77)-N(J77))</f>
        <v/>
      </c>
      <c r="N77" s="29"/>
    </row>
    <row r="78" customFormat="false" ht="15" hidden="false" customHeight="false" outlineLevel="0" collapsed="false">
      <c r="A78" s="29"/>
      <c r="B78" s="29"/>
      <c r="C78" s="31"/>
      <c r="D78" s="31"/>
      <c r="E78" s="35" t="str">
        <f aca="false">IF(OR(C78="",D78=""),"",MAX(1,D78-C78))</f>
        <v/>
      </c>
      <c r="F78" s="32"/>
      <c r="G78" s="36" t="str">
        <f aca="false">IF(B78="","",IFERROR(IF(N(INDEX(Fleet!$N$5:$N$79,MATCH(B78,Fleet!$A$5:$A$79,0)))&gt;0,INDEX(Fleet!$N$5:$N$79,MATCH(B78,Fleet!$A$5:$A$79,0)),Assumptions!$B$7),Assumptions!$B$7))</f>
        <v/>
      </c>
      <c r="H78" s="34" t="str">
        <f aca="false">IF(OR(F78="",G78=""),"",F78*G78)</f>
        <v/>
      </c>
      <c r="I78" s="32"/>
      <c r="J78" s="32"/>
      <c r="K78" s="37"/>
      <c r="L78" s="38" t="str">
        <f aca="false">IF(C78="","",DATE(YEAR(C78),MONTH(C78),1))</f>
        <v/>
      </c>
      <c r="M78" s="34" t="str">
        <f aca="false">IF(F78="","",N(H78)+N(I78)-N(J78))</f>
        <v/>
      </c>
      <c r="N78" s="29"/>
    </row>
    <row r="79" customFormat="false" ht="15" hidden="false" customHeight="false" outlineLevel="0" collapsed="false">
      <c r="A79" s="29"/>
      <c r="B79" s="29"/>
      <c r="C79" s="31"/>
      <c r="D79" s="31"/>
      <c r="E79" s="35" t="str">
        <f aca="false">IF(OR(C79="",D79=""),"",MAX(1,D79-C79))</f>
        <v/>
      </c>
      <c r="F79" s="32"/>
      <c r="G79" s="36" t="str">
        <f aca="false">IF(B79="","",IFERROR(IF(N(INDEX(Fleet!$N$5:$N$79,MATCH(B79,Fleet!$A$5:$A$79,0)))&gt;0,INDEX(Fleet!$N$5:$N$79,MATCH(B79,Fleet!$A$5:$A$79,0)),Assumptions!$B$7),Assumptions!$B$7))</f>
        <v/>
      </c>
      <c r="H79" s="34" t="str">
        <f aca="false">IF(OR(F79="",G79=""),"",F79*G79)</f>
        <v/>
      </c>
      <c r="I79" s="32"/>
      <c r="J79" s="32"/>
      <c r="K79" s="37"/>
      <c r="L79" s="38" t="str">
        <f aca="false">IF(C79="","",DATE(YEAR(C79),MONTH(C79),1))</f>
        <v/>
      </c>
      <c r="M79" s="34" t="str">
        <f aca="false">IF(F79="","",N(H79)+N(I79)-N(J79))</f>
        <v/>
      </c>
      <c r="N79" s="29"/>
    </row>
    <row r="80" customFormat="false" ht="15" hidden="false" customHeight="false" outlineLevel="0" collapsed="false">
      <c r="A80" s="29"/>
      <c r="B80" s="29"/>
      <c r="C80" s="31"/>
      <c r="D80" s="31"/>
      <c r="E80" s="35" t="str">
        <f aca="false">IF(OR(C80="",D80=""),"",MAX(1,D80-C80))</f>
        <v/>
      </c>
      <c r="F80" s="32"/>
      <c r="G80" s="36" t="str">
        <f aca="false">IF(B80="","",IFERROR(IF(N(INDEX(Fleet!$N$5:$N$79,MATCH(B80,Fleet!$A$5:$A$79,0)))&gt;0,INDEX(Fleet!$N$5:$N$79,MATCH(B80,Fleet!$A$5:$A$79,0)),Assumptions!$B$7),Assumptions!$B$7))</f>
        <v/>
      </c>
      <c r="H80" s="34" t="str">
        <f aca="false">IF(OR(F80="",G80=""),"",F80*G80)</f>
        <v/>
      </c>
      <c r="I80" s="32"/>
      <c r="J80" s="32"/>
      <c r="K80" s="37"/>
      <c r="L80" s="38" t="str">
        <f aca="false">IF(C80="","",DATE(YEAR(C80),MONTH(C80),1))</f>
        <v/>
      </c>
      <c r="M80" s="34" t="str">
        <f aca="false">IF(F80="","",N(H80)+N(I80)-N(J80))</f>
        <v/>
      </c>
      <c r="N80" s="29"/>
    </row>
    <row r="81" customFormat="false" ht="15" hidden="false" customHeight="false" outlineLevel="0" collapsed="false">
      <c r="A81" s="29"/>
      <c r="B81" s="29"/>
      <c r="C81" s="31"/>
      <c r="D81" s="31"/>
      <c r="E81" s="35" t="str">
        <f aca="false">IF(OR(C81="",D81=""),"",MAX(1,D81-C81))</f>
        <v/>
      </c>
      <c r="F81" s="32"/>
      <c r="G81" s="36" t="str">
        <f aca="false">IF(B81="","",IFERROR(IF(N(INDEX(Fleet!$N$5:$N$79,MATCH(B81,Fleet!$A$5:$A$79,0)))&gt;0,INDEX(Fleet!$N$5:$N$79,MATCH(B81,Fleet!$A$5:$A$79,0)),Assumptions!$B$7),Assumptions!$B$7))</f>
        <v/>
      </c>
      <c r="H81" s="34" t="str">
        <f aca="false">IF(OR(F81="",G81=""),"",F81*G81)</f>
        <v/>
      </c>
      <c r="I81" s="32"/>
      <c r="J81" s="32"/>
      <c r="K81" s="37"/>
      <c r="L81" s="38" t="str">
        <f aca="false">IF(C81="","",DATE(YEAR(C81),MONTH(C81),1))</f>
        <v/>
      </c>
      <c r="M81" s="34" t="str">
        <f aca="false">IF(F81="","",N(H81)+N(I81)-N(J81))</f>
        <v/>
      </c>
      <c r="N81" s="29"/>
    </row>
    <row r="82" customFormat="false" ht="15" hidden="false" customHeight="false" outlineLevel="0" collapsed="false">
      <c r="A82" s="29"/>
      <c r="B82" s="29"/>
      <c r="C82" s="31"/>
      <c r="D82" s="31"/>
      <c r="E82" s="35" t="str">
        <f aca="false">IF(OR(C82="",D82=""),"",MAX(1,D82-C82))</f>
        <v/>
      </c>
      <c r="F82" s="32"/>
      <c r="G82" s="36" t="str">
        <f aca="false">IF(B82="","",IFERROR(IF(N(INDEX(Fleet!$N$5:$N$79,MATCH(B82,Fleet!$A$5:$A$79,0)))&gt;0,INDEX(Fleet!$N$5:$N$79,MATCH(B82,Fleet!$A$5:$A$79,0)),Assumptions!$B$7),Assumptions!$B$7))</f>
        <v/>
      </c>
      <c r="H82" s="34" t="str">
        <f aca="false">IF(OR(F82="",G82=""),"",F82*G82)</f>
        <v/>
      </c>
      <c r="I82" s="32"/>
      <c r="J82" s="32"/>
      <c r="K82" s="37"/>
      <c r="L82" s="38" t="str">
        <f aca="false">IF(C82="","",DATE(YEAR(C82),MONTH(C82),1))</f>
        <v/>
      </c>
      <c r="M82" s="34" t="str">
        <f aca="false">IF(F82="","",N(H82)+N(I82)-N(J82))</f>
        <v/>
      </c>
      <c r="N82" s="29"/>
    </row>
    <row r="83" customFormat="false" ht="15" hidden="false" customHeight="false" outlineLevel="0" collapsed="false">
      <c r="A83" s="29"/>
      <c r="B83" s="29"/>
      <c r="C83" s="31"/>
      <c r="D83" s="31"/>
      <c r="E83" s="35" t="str">
        <f aca="false">IF(OR(C83="",D83=""),"",MAX(1,D83-C83))</f>
        <v/>
      </c>
      <c r="F83" s="32"/>
      <c r="G83" s="36" t="str">
        <f aca="false">IF(B83="","",IFERROR(IF(N(INDEX(Fleet!$N$5:$N$79,MATCH(B83,Fleet!$A$5:$A$79,0)))&gt;0,INDEX(Fleet!$N$5:$N$79,MATCH(B83,Fleet!$A$5:$A$79,0)),Assumptions!$B$7),Assumptions!$B$7))</f>
        <v/>
      </c>
      <c r="H83" s="34" t="str">
        <f aca="false">IF(OR(F83="",G83=""),"",F83*G83)</f>
        <v/>
      </c>
      <c r="I83" s="32"/>
      <c r="J83" s="32"/>
      <c r="K83" s="37"/>
      <c r="L83" s="38" t="str">
        <f aca="false">IF(C83="","",DATE(YEAR(C83),MONTH(C83),1))</f>
        <v/>
      </c>
      <c r="M83" s="34" t="str">
        <f aca="false">IF(F83="","",N(H83)+N(I83)-N(J83))</f>
        <v/>
      </c>
      <c r="N83" s="29"/>
    </row>
    <row r="84" customFormat="false" ht="15" hidden="false" customHeight="false" outlineLevel="0" collapsed="false">
      <c r="A84" s="29"/>
      <c r="B84" s="29"/>
      <c r="C84" s="31"/>
      <c r="D84" s="31"/>
      <c r="E84" s="35" t="str">
        <f aca="false">IF(OR(C84="",D84=""),"",MAX(1,D84-C84))</f>
        <v/>
      </c>
      <c r="F84" s="32"/>
      <c r="G84" s="36" t="str">
        <f aca="false">IF(B84="","",IFERROR(IF(N(INDEX(Fleet!$N$5:$N$79,MATCH(B84,Fleet!$A$5:$A$79,0)))&gt;0,INDEX(Fleet!$N$5:$N$79,MATCH(B84,Fleet!$A$5:$A$79,0)),Assumptions!$B$7),Assumptions!$B$7))</f>
        <v/>
      </c>
      <c r="H84" s="34" t="str">
        <f aca="false">IF(OR(F84="",G84=""),"",F84*G84)</f>
        <v/>
      </c>
      <c r="I84" s="32"/>
      <c r="J84" s="32"/>
      <c r="K84" s="37"/>
      <c r="L84" s="38" t="str">
        <f aca="false">IF(C84="","",DATE(YEAR(C84),MONTH(C84),1))</f>
        <v/>
      </c>
      <c r="M84" s="34" t="str">
        <f aca="false">IF(F84="","",N(H84)+N(I84)-N(J84))</f>
        <v/>
      </c>
      <c r="N84" s="29"/>
    </row>
    <row r="85" customFormat="false" ht="15" hidden="false" customHeight="false" outlineLevel="0" collapsed="false">
      <c r="A85" s="29"/>
      <c r="B85" s="29"/>
      <c r="C85" s="31"/>
      <c r="D85" s="31"/>
      <c r="E85" s="35" t="str">
        <f aca="false">IF(OR(C85="",D85=""),"",MAX(1,D85-C85))</f>
        <v/>
      </c>
      <c r="F85" s="32"/>
      <c r="G85" s="36" t="str">
        <f aca="false">IF(B85="","",IFERROR(IF(N(INDEX(Fleet!$N$5:$N$79,MATCH(B85,Fleet!$A$5:$A$79,0)))&gt;0,INDEX(Fleet!$N$5:$N$79,MATCH(B85,Fleet!$A$5:$A$79,0)),Assumptions!$B$7),Assumptions!$B$7))</f>
        <v/>
      </c>
      <c r="H85" s="34" t="str">
        <f aca="false">IF(OR(F85="",G85=""),"",F85*G85)</f>
        <v/>
      </c>
      <c r="I85" s="32"/>
      <c r="J85" s="32"/>
      <c r="K85" s="37"/>
      <c r="L85" s="38" t="str">
        <f aca="false">IF(C85="","",DATE(YEAR(C85),MONTH(C85),1))</f>
        <v/>
      </c>
      <c r="M85" s="34" t="str">
        <f aca="false">IF(F85="","",N(H85)+N(I85)-N(J85))</f>
        <v/>
      </c>
      <c r="N85" s="29"/>
    </row>
    <row r="86" customFormat="false" ht="15" hidden="false" customHeight="false" outlineLevel="0" collapsed="false">
      <c r="A86" s="29"/>
      <c r="B86" s="29"/>
      <c r="C86" s="31"/>
      <c r="D86" s="31"/>
      <c r="E86" s="35" t="str">
        <f aca="false">IF(OR(C86="",D86=""),"",MAX(1,D86-C86))</f>
        <v/>
      </c>
      <c r="F86" s="32"/>
      <c r="G86" s="36" t="str">
        <f aca="false">IF(B86="","",IFERROR(IF(N(INDEX(Fleet!$N$5:$N$79,MATCH(B86,Fleet!$A$5:$A$79,0)))&gt;0,INDEX(Fleet!$N$5:$N$79,MATCH(B86,Fleet!$A$5:$A$79,0)),Assumptions!$B$7),Assumptions!$B$7))</f>
        <v/>
      </c>
      <c r="H86" s="34" t="str">
        <f aca="false">IF(OR(F86="",G86=""),"",F86*G86)</f>
        <v/>
      </c>
      <c r="I86" s="32"/>
      <c r="J86" s="32"/>
      <c r="K86" s="37"/>
      <c r="L86" s="38" t="str">
        <f aca="false">IF(C86="","",DATE(YEAR(C86),MONTH(C86),1))</f>
        <v/>
      </c>
      <c r="M86" s="34" t="str">
        <f aca="false">IF(F86="","",N(H86)+N(I86)-N(J86))</f>
        <v/>
      </c>
      <c r="N86" s="29"/>
    </row>
    <row r="87" customFormat="false" ht="15" hidden="false" customHeight="false" outlineLevel="0" collapsed="false">
      <c r="A87" s="29"/>
      <c r="B87" s="29"/>
      <c r="C87" s="31"/>
      <c r="D87" s="31"/>
      <c r="E87" s="35" t="str">
        <f aca="false">IF(OR(C87="",D87=""),"",MAX(1,D87-C87))</f>
        <v/>
      </c>
      <c r="F87" s="32"/>
      <c r="G87" s="36" t="str">
        <f aca="false">IF(B87="","",IFERROR(IF(N(INDEX(Fleet!$N$5:$N$79,MATCH(B87,Fleet!$A$5:$A$79,0)))&gt;0,INDEX(Fleet!$N$5:$N$79,MATCH(B87,Fleet!$A$5:$A$79,0)),Assumptions!$B$7),Assumptions!$B$7))</f>
        <v/>
      </c>
      <c r="H87" s="34" t="str">
        <f aca="false">IF(OR(F87="",G87=""),"",F87*G87)</f>
        <v/>
      </c>
      <c r="I87" s="32"/>
      <c r="J87" s="32"/>
      <c r="K87" s="37"/>
      <c r="L87" s="38" t="str">
        <f aca="false">IF(C87="","",DATE(YEAR(C87),MONTH(C87),1))</f>
        <v/>
      </c>
      <c r="M87" s="34" t="str">
        <f aca="false">IF(F87="","",N(H87)+N(I87)-N(J87))</f>
        <v/>
      </c>
      <c r="N87" s="29"/>
    </row>
    <row r="88" customFormat="false" ht="15" hidden="false" customHeight="false" outlineLevel="0" collapsed="false">
      <c r="A88" s="29"/>
      <c r="B88" s="29"/>
      <c r="C88" s="31"/>
      <c r="D88" s="31"/>
      <c r="E88" s="35" t="str">
        <f aca="false">IF(OR(C88="",D88=""),"",MAX(1,D88-C88))</f>
        <v/>
      </c>
      <c r="F88" s="32"/>
      <c r="G88" s="36" t="str">
        <f aca="false">IF(B88="","",IFERROR(IF(N(INDEX(Fleet!$N$5:$N$79,MATCH(B88,Fleet!$A$5:$A$79,0)))&gt;0,INDEX(Fleet!$N$5:$N$79,MATCH(B88,Fleet!$A$5:$A$79,0)),Assumptions!$B$7),Assumptions!$B$7))</f>
        <v/>
      </c>
      <c r="H88" s="34" t="str">
        <f aca="false">IF(OR(F88="",G88=""),"",F88*G88)</f>
        <v/>
      </c>
      <c r="I88" s="32"/>
      <c r="J88" s="32"/>
      <c r="K88" s="37"/>
      <c r="L88" s="38" t="str">
        <f aca="false">IF(C88="","",DATE(YEAR(C88),MONTH(C88),1))</f>
        <v/>
      </c>
      <c r="M88" s="34" t="str">
        <f aca="false">IF(F88="","",N(H88)+N(I88)-N(J88))</f>
        <v/>
      </c>
      <c r="N88" s="29"/>
    </row>
    <row r="89" customFormat="false" ht="15" hidden="false" customHeight="false" outlineLevel="0" collapsed="false">
      <c r="A89" s="29"/>
      <c r="B89" s="29"/>
      <c r="C89" s="31"/>
      <c r="D89" s="31"/>
      <c r="E89" s="35" t="str">
        <f aca="false">IF(OR(C89="",D89=""),"",MAX(1,D89-C89))</f>
        <v/>
      </c>
      <c r="F89" s="32"/>
      <c r="G89" s="36" t="str">
        <f aca="false">IF(B89="","",IFERROR(IF(N(INDEX(Fleet!$N$5:$N$79,MATCH(B89,Fleet!$A$5:$A$79,0)))&gt;0,INDEX(Fleet!$N$5:$N$79,MATCH(B89,Fleet!$A$5:$A$79,0)),Assumptions!$B$7),Assumptions!$B$7))</f>
        <v/>
      </c>
      <c r="H89" s="34" t="str">
        <f aca="false">IF(OR(F89="",G89=""),"",F89*G89)</f>
        <v/>
      </c>
      <c r="I89" s="32"/>
      <c r="J89" s="32"/>
      <c r="K89" s="37"/>
      <c r="L89" s="38" t="str">
        <f aca="false">IF(C89="","",DATE(YEAR(C89),MONTH(C89),1))</f>
        <v/>
      </c>
      <c r="M89" s="34" t="str">
        <f aca="false">IF(F89="","",N(H89)+N(I89)-N(J89))</f>
        <v/>
      </c>
      <c r="N89" s="29"/>
    </row>
    <row r="90" customFormat="false" ht="15" hidden="false" customHeight="false" outlineLevel="0" collapsed="false">
      <c r="A90" s="29"/>
      <c r="B90" s="29"/>
      <c r="C90" s="31"/>
      <c r="D90" s="31"/>
      <c r="E90" s="35" t="str">
        <f aca="false">IF(OR(C90="",D90=""),"",MAX(1,D90-C90))</f>
        <v/>
      </c>
      <c r="F90" s="32"/>
      <c r="G90" s="36" t="str">
        <f aca="false">IF(B90="","",IFERROR(IF(N(INDEX(Fleet!$N$5:$N$79,MATCH(B90,Fleet!$A$5:$A$79,0)))&gt;0,INDEX(Fleet!$N$5:$N$79,MATCH(B90,Fleet!$A$5:$A$79,0)),Assumptions!$B$7),Assumptions!$B$7))</f>
        <v/>
      </c>
      <c r="H90" s="34" t="str">
        <f aca="false">IF(OR(F90="",G90=""),"",F90*G90)</f>
        <v/>
      </c>
      <c r="I90" s="32"/>
      <c r="J90" s="32"/>
      <c r="K90" s="37"/>
      <c r="L90" s="38" t="str">
        <f aca="false">IF(C90="","",DATE(YEAR(C90),MONTH(C90),1))</f>
        <v/>
      </c>
      <c r="M90" s="34" t="str">
        <f aca="false">IF(F90="","",N(H90)+N(I90)-N(J90))</f>
        <v/>
      </c>
      <c r="N90" s="29"/>
    </row>
    <row r="91" customFormat="false" ht="15" hidden="false" customHeight="false" outlineLevel="0" collapsed="false">
      <c r="A91" s="29"/>
      <c r="B91" s="29"/>
      <c r="C91" s="31"/>
      <c r="D91" s="31"/>
      <c r="E91" s="35" t="str">
        <f aca="false">IF(OR(C91="",D91=""),"",MAX(1,D91-C91))</f>
        <v/>
      </c>
      <c r="F91" s="32"/>
      <c r="G91" s="36" t="str">
        <f aca="false">IF(B91="","",IFERROR(IF(N(INDEX(Fleet!$N$5:$N$79,MATCH(B91,Fleet!$A$5:$A$79,0)))&gt;0,INDEX(Fleet!$N$5:$N$79,MATCH(B91,Fleet!$A$5:$A$79,0)),Assumptions!$B$7),Assumptions!$B$7))</f>
        <v/>
      </c>
      <c r="H91" s="34" t="str">
        <f aca="false">IF(OR(F91="",G91=""),"",F91*G91)</f>
        <v/>
      </c>
      <c r="I91" s="32"/>
      <c r="J91" s="32"/>
      <c r="K91" s="37"/>
      <c r="L91" s="38" t="str">
        <f aca="false">IF(C91="","",DATE(YEAR(C91),MONTH(C91),1))</f>
        <v/>
      </c>
      <c r="M91" s="34" t="str">
        <f aca="false">IF(F91="","",N(H91)+N(I91)-N(J91))</f>
        <v/>
      </c>
      <c r="N91" s="29"/>
    </row>
    <row r="92" customFormat="false" ht="15" hidden="false" customHeight="false" outlineLevel="0" collapsed="false">
      <c r="A92" s="29"/>
      <c r="B92" s="29"/>
      <c r="C92" s="31"/>
      <c r="D92" s="31"/>
      <c r="E92" s="35" t="str">
        <f aca="false">IF(OR(C92="",D92=""),"",MAX(1,D92-C92))</f>
        <v/>
      </c>
      <c r="F92" s="32"/>
      <c r="G92" s="36" t="str">
        <f aca="false">IF(B92="","",IFERROR(IF(N(INDEX(Fleet!$N$5:$N$79,MATCH(B92,Fleet!$A$5:$A$79,0)))&gt;0,INDEX(Fleet!$N$5:$N$79,MATCH(B92,Fleet!$A$5:$A$79,0)),Assumptions!$B$7),Assumptions!$B$7))</f>
        <v/>
      </c>
      <c r="H92" s="34" t="str">
        <f aca="false">IF(OR(F92="",G92=""),"",F92*G92)</f>
        <v/>
      </c>
      <c r="I92" s="32"/>
      <c r="J92" s="32"/>
      <c r="K92" s="37"/>
      <c r="L92" s="38" t="str">
        <f aca="false">IF(C92="","",DATE(YEAR(C92),MONTH(C92),1))</f>
        <v/>
      </c>
      <c r="M92" s="34" t="str">
        <f aca="false">IF(F92="","",N(H92)+N(I92)-N(J92))</f>
        <v/>
      </c>
      <c r="N92" s="29"/>
    </row>
    <row r="93" customFormat="false" ht="15" hidden="false" customHeight="false" outlineLevel="0" collapsed="false">
      <c r="A93" s="29"/>
      <c r="B93" s="29"/>
      <c r="C93" s="31"/>
      <c r="D93" s="31"/>
      <c r="E93" s="35" t="str">
        <f aca="false">IF(OR(C93="",D93=""),"",MAX(1,D93-C93))</f>
        <v/>
      </c>
      <c r="F93" s="32"/>
      <c r="G93" s="36" t="str">
        <f aca="false">IF(B93="","",IFERROR(IF(N(INDEX(Fleet!$N$5:$N$79,MATCH(B93,Fleet!$A$5:$A$79,0)))&gt;0,INDEX(Fleet!$N$5:$N$79,MATCH(B93,Fleet!$A$5:$A$79,0)),Assumptions!$B$7),Assumptions!$B$7))</f>
        <v/>
      </c>
      <c r="H93" s="34" t="str">
        <f aca="false">IF(OR(F93="",G93=""),"",F93*G93)</f>
        <v/>
      </c>
      <c r="I93" s="32"/>
      <c r="J93" s="32"/>
      <c r="K93" s="37"/>
      <c r="L93" s="38" t="str">
        <f aca="false">IF(C93="","",DATE(YEAR(C93),MONTH(C93),1))</f>
        <v/>
      </c>
      <c r="M93" s="34" t="str">
        <f aca="false">IF(F93="","",N(H93)+N(I93)-N(J93))</f>
        <v/>
      </c>
      <c r="N93" s="29"/>
    </row>
    <row r="94" customFormat="false" ht="15" hidden="false" customHeight="false" outlineLevel="0" collapsed="false">
      <c r="A94" s="29"/>
      <c r="B94" s="29"/>
      <c r="C94" s="31"/>
      <c r="D94" s="31"/>
      <c r="E94" s="35" t="str">
        <f aca="false">IF(OR(C94="",D94=""),"",MAX(1,D94-C94))</f>
        <v/>
      </c>
      <c r="F94" s="32"/>
      <c r="G94" s="36" t="str">
        <f aca="false">IF(B94="","",IFERROR(IF(N(INDEX(Fleet!$N$5:$N$79,MATCH(B94,Fleet!$A$5:$A$79,0)))&gt;0,INDEX(Fleet!$N$5:$N$79,MATCH(B94,Fleet!$A$5:$A$79,0)),Assumptions!$B$7),Assumptions!$B$7))</f>
        <v/>
      </c>
      <c r="H94" s="34" t="str">
        <f aca="false">IF(OR(F94="",G94=""),"",F94*G94)</f>
        <v/>
      </c>
      <c r="I94" s="32"/>
      <c r="J94" s="32"/>
      <c r="K94" s="37"/>
      <c r="L94" s="38" t="str">
        <f aca="false">IF(C94="","",DATE(YEAR(C94),MONTH(C94),1))</f>
        <v/>
      </c>
      <c r="M94" s="34" t="str">
        <f aca="false">IF(F94="","",N(H94)+N(I94)-N(J94))</f>
        <v/>
      </c>
      <c r="N94" s="29"/>
    </row>
    <row r="95" customFormat="false" ht="15" hidden="false" customHeight="false" outlineLevel="0" collapsed="false">
      <c r="A95" s="29"/>
      <c r="B95" s="29"/>
      <c r="C95" s="31"/>
      <c r="D95" s="31"/>
      <c r="E95" s="35" t="str">
        <f aca="false">IF(OR(C95="",D95=""),"",MAX(1,D95-C95))</f>
        <v/>
      </c>
      <c r="F95" s="32"/>
      <c r="G95" s="36" t="str">
        <f aca="false">IF(B95="","",IFERROR(IF(N(INDEX(Fleet!$N$5:$N$79,MATCH(B95,Fleet!$A$5:$A$79,0)))&gt;0,INDEX(Fleet!$N$5:$N$79,MATCH(B95,Fleet!$A$5:$A$79,0)),Assumptions!$B$7),Assumptions!$B$7))</f>
        <v/>
      </c>
      <c r="H95" s="34" t="str">
        <f aca="false">IF(OR(F95="",G95=""),"",F95*G95)</f>
        <v/>
      </c>
      <c r="I95" s="32"/>
      <c r="J95" s="32"/>
      <c r="K95" s="37"/>
      <c r="L95" s="38" t="str">
        <f aca="false">IF(C95="","",DATE(YEAR(C95),MONTH(C95),1))</f>
        <v/>
      </c>
      <c r="M95" s="34" t="str">
        <f aca="false">IF(F95="","",N(H95)+N(I95)-N(J95))</f>
        <v/>
      </c>
      <c r="N95" s="29"/>
    </row>
    <row r="96" customFormat="false" ht="15" hidden="false" customHeight="false" outlineLevel="0" collapsed="false">
      <c r="A96" s="29"/>
      <c r="B96" s="29"/>
      <c r="C96" s="31"/>
      <c r="D96" s="31"/>
      <c r="E96" s="35" t="str">
        <f aca="false">IF(OR(C96="",D96=""),"",MAX(1,D96-C96))</f>
        <v/>
      </c>
      <c r="F96" s="32"/>
      <c r="G96" s="36" t="str">
        <f aca="false">IF(B96="","",IFERROR(IF(N(INDEX(Fleet!$N$5:$N$79,MATCH(B96,Fleet!$A$5:$A$79,0)))&gt;0,INDEX(Fleet!$N$5:$N$79,MATCH(B96,Fleet!$A$5:$A$79,0)),Assumptions!$B$7),Assumptions!$B$7))</f>
        <v/>
      </c>
      <c r="H96" s="34" t="str">
        <f aca="false">IF(OR(F96="",G96=""),"",F96*G96)</f>
        <v/>
      </c>
      <c r="I96" s="32"/>
      <c r="J96" s="32"/>
      <c r="K96" s="37"/>
      <c r="L96" s="38" t="str">
        <f aca="false">IF(C96="","",DATE(YEAR(C96),MONTH(C96),1))</f>
        <v/>
      </c>
      <c r="M96" s="34" t="str">
        <f aca="false">IF(F96="","",N(H96)+N(I96)-N(J96))</f>
        <v/>
      </c>
      <c r="N96" s="29"/>
    </row>
    <row r="97" customFormat="false" ht="15" hidden="false" customHeight="false" outlineLevel="0" collapsed="false">
      <c r="A97" s="29"/>
      <c r="B97" s="29"/>
      <c r="C97" s="31"/>
      <c r="D97" s="31"/>
      <c r="E97" s="35" t="str">
        <f aca="false">IF(OR(C97="",D97=""),"",MAX(1,D97-C97))</f>
        <v/>
      </c>
      <c r="F97" s="32"/>
      <c r="G97" s="36" t="str">
        <f aca="false">IF(B97="","",IFERROR(IF(N(INDEX(Fleet!$N$5:$N$79,MATCH(B97,Fleet!$A$5:$A$79,0)))&gt;0,INDEX(Fleet!$N$5:$N$79,MATCH(B97,Fleet!$A$5:$A$79,0)),Assumptions!$B$7),Assumptions!$B$7))</f>
        <v/>
      </c>
      <c r="H97" s="34" t="str">
        <f aca="false">IF(OR(F97="",G97=""),"",F97*G97)</f>
        <v/>
      </c>
      <c r="I97" s="32"/>
      <c r="J97" s="32"/>
      <c r="K97" s="37"/>
      <c r="L97" s="38" t="str">
        <f aca="false">IF(C97="","",DATE(YEAR(C97),MONTH(C97),1))</f>
        <v/>
      </c>
      <c r="M97" s="34" t="str">
        <f aca="false">IF(F97="","",N(H97)+N(I97)-N(J97))</f>
        <v/>
      </c>
      <c r="N97" s="29"/>
    </row>
    <row r="98" customFormat="false" ht="15" hidden="false" customHeight="false" outlineLevel="0" collapsed="false">
      <c r="A98" s="29"/>
      <c r="B98" s="29"/>
      <c r="C98" s="31"/>
      <c r="D98" s="31"/>
      <c r="E98" s="35" t="str">
        <f aca="false">IF(OR(C98="",D98=""),"",MAX(1,D98-C98))</f>
        <v/>
      </c>
      <c r="F98" s="32"/>
      <c r="G98" s="36" t="str">
        <f aca="false">IF(B98="","",IFERROR(IF(N(INDEX(Fleet!$N$5:$N$79,MATCH(B98,Fleet!$A$5:$A$79,0)))&gt;0,INDEX(Fleet!$N$5:$N$79,MATCH(B98,Fleet!$A$5:$A$79,0)),Assumptions!$B$7),Assumptions!$B$7))</f>
        <v/>
      </c>
      <c r="H98" s="34" t="str">
        <f aca="false">IF(OR(F98="",G98=""),"",F98*G98)</f>
        <v/>
      </c>
      <c r="I98" s="32"/>
      <c r="J98" s="32"/>
      <c r="K98" s="37"/>
      <c r="L98" s="38" t="str">
        <f aca="false">IF(C98="","",DATE(YEAR(C98),MONTH(C98),1))</f>
        <v/>
      </c>
      <c r="M98" s="34" t="str">
        <f aca="false">IF(F98="","",N(H98)+N(I98)-N(J98))</f>
        <v/>
      </c>
      <c r="N98" s="29"/>
    </row>
    <row r="99" customFormat="false" ht="15" hidden="false" customHeight="false" outlineLevel="0" collapsed="false">
      <c r="A99" s="29"/>
      <c r="B99" s="29"/>
      <c r="C99" s="31"/>
      <c r="D99" s="31"/>
      <c r="E99" s="35" t="str">
        <f aca="false">IF(OR(C99="",D99=""),"",MAX(1,D99-C99))</f>
        <v/>
      </c>
      <c r="F99" s="32"/>
      <c r="G99" s="36" t="str">
        <f aca="false">IF(B99="","",IFERROR(IF(N(INDEX(Fleet!$N$5:$N$79,MATCH(B99,Fleet!$A$5:$A$79,0)))&gt;0,INDEX(Fleet!$N$5:$N$79,MATCH(B99,Fleet!$A$5:$A$79,0)),Assumptions!$B$7),Assumptions!$B$7))</f>
        <v/>
      </c>
      <c r="H99" s="34" t="str">
        <f aca="false">IF(OR(F99="",G99=""),"",F99*G99)</f>
        <v/>
      </c>
      <c r="I99" s="32"/>
      <c r="J99" s="32"/>
      <c r="K99" s="37"/>
      <c r="L99" s="38" t="str">
        <f aca="false">IF(C99="","",DATE(YEAR(C99),MONTH(C99),1))</f>
        <v/>
      </c>
      <c r="M99" s="34" t="str">
        <f aca="false">IF(F99="","",N(H99)+N(I99)-N(J99))</f>
        <v/>
      </c>
      <c r="N99" s="29"/>
    </row>
    <row r="100" customFormat="false" ht="15" hidden="false" customHeight="false" outlineLevel="0" collapsed="false">
      <c r="A100" s="29"/>
      <c r="B100" s="29"/>
      <c r="C100" s="31"/>
      <c r="D100" s="31"/>
      <c r="E100" s="35" t="str">
        <f aca="false">IF(OR(C100="",D100=""),"",MAX(1,D100-C100))</f>
        <v/>
      </c>
      <c r="F100" s="32"/>
      <c r="G100" s="36" t="str">
        <f aca="false">IF(B100="","",IFERROR(IF(N(INDEX(Fleet!$N$5:$N$79,MATCH(B100,Fleet!$A$5:$A$79,0)))&gt;0,INDEX(Fleet!$N$5:$N$79,MATCH(B100,Fleet!$A$5:$A$79,0)),Assumptions!$B$7),Assumptions!$B$7))</f>
        <v/>
      </c>
      <c r="H100" s="34" t="str">
        <f aca="false">IF(OR(F100="",G100=""),"",F100*G100)</f>
        <v/>
      </c>
      <c r="I100" s="32"/>
      <c r="J100" s="32"/>
      <c r="K100" s="37"/>
      <c r="L100" s="38" t="str">
        <f aca="false">IF(C100="","",DATE(YEAR(C100),MONTH(C100),1))</f>
        <v/>
      </c>
      <c r="M100" s="34" t="str">
        <f aca="false">IF(F100="","",N(H100)+N(I100)-N(J100))</f>
        <v/>
      </c>
      <c r="N100" s="29"/>
    </row>
    <row r="101" customFormat="false" ht="15" hidden="false" customHeight="false" outlineLevel="0" collapsed="false">
      <c r="A101" s="29"/>
      <c r="B101" s="29"/>
      <c r="C101" s="31"/>
      <c r="D101" s="31"/>
      <c r="E101" s="35" t="str">
        <f aca="false">IF(OR(C101="",D101=""),"",MAX(1,D101-C101))</f>
        <v/>
      </c>
      <c r="F101" s="32"/>
      <c r="G101" s="36" t="str">
        <f aca="false">IF(B101="","",IFERROR(IF(N(INDEX(Fleet!$N$5:$N$79,MATCH(B101,Fleet!$A$5:$A$79,0)))&gt;0,INDEX(Fleet!$N$5:$N$79,MATCH(B101,Fleet!$A$5:$A$79,0)),Assumptions!$B$7),Assumptions!$B$7))</f>
        <v/>
      </c>
      <c r="H101" s="34" t="str">
        <f aca="false">IF(OR(F101="",G101=""),"",F101*G101)</f>
        <v/>
      </c>
      <c r="I101" s="32"/>
      <c r="J101" s="32"/>
      <c r="K101" s="37"/>
      <c r="L101" s="38" t="str">
        <f aca="false">IF(C101="","",DATE(YEAR(C101),MONTH(C101),1))</f>
        <v/>
      </c>
      <c r="M101" s="34" t="str">
        <f aca="false">IF(F101="","",N(H101)+N(I101)-N(J101))</f>
        <v/>
      </c>
      <c r="N101" s="29"/>
    </row>
    <row r="102" customFormat="false" ht="15" hidden="false" customHeight="false" outlineLevel="0" collapsed="false">
      <c r="A102" s="29"/>
      <c r="B102" s="29"/>
      <c r="C102" s="31"/>
      <c r="D102" s="31"/>
      <c r="E102" s="35" t="str">
        <f aca="false">IF(OR(C102="",D102=""),"",MAX(1,D102-C102))</f>
        <v/>
      </c>
      <c r="F102" s="32"/>
      <c r="G102" s="36" t="str">
        <f aca="false">IF(B102="","",IFERROR(IF(N(INDEX(Fleet!$N$5:$N$79,MATCH(B102,Fleet!$A$5:$A$79,0)))&gt;0,INDEX(Fleet!$N$5:$N$79,MATCH(B102,Fleet!$A$5:$A$79,0)),Assumptions!$B$7),Assumptions!$B$7))</f>
        <v/>
      </c>
      <c r="H102" s="34" t="str">
        <f aca="false">IF(OR(F102="",G102=""),"",F102*G102)</f>
        <v/>
      </c>
      <c r="I102" s="32"/>
      <c r="J102" s="32"/>
      <c r="K102" s="37"/>
      <c r="L102" s="38" t="str">
        <f aca="false">IF(C102="","",DATE(YEAR(C102),MONTH(C102),1))</f>
        <v/>
      </c>
      <c r="M102" s="34" t="str">
        <f aca="false">IF(F102="","",N(H102)+N(I102)-N(J102))</f>
        <v/>
      </c>
      <c r="N102" s="29"/>
    </row>
    <row r="103" customFormat="false" ht="15" hidden="false" customHeight="false" outlineLevel="0" collapsed="false">
      <c r="A103" s="29"/>
      <c r="B103" s="29"/>
      <c r="C103" s="31"/>
      <c r="D103" s="31"/>
      <c r="E103" s="35" t="str">
        <f aca="false">IF(OR(C103="",D103=""),"",MAX(1,D103-C103))</f>
        <v/>
      </c>
      <c r="F103" s="32"/>
      <c r="G103" s="36" t="str">
        <f aca="false">IF(B103="","",IFERROR(IF(N(INDEX(Fleet!$N$5:$N$79,MATCH(B103,Fleet!$A$5:$A$79,0)))&gt;0,INDEX(Fleet!$N$5:$N$79,MATCH(B103,Fleet!$A$5:$A$79,0)),Assumptions!$B$7),Assumptions!$B$7))</f>
        <v/>
      </c>
      <c r="H103" s="34" t="str">
        <f aca="false">IF(OR(F103="",G103=""),"",F103*G103)</f>
        <v/>
      </c>
      <c r="I103" s="32"/>
      <c r="J103" s="32"/>
      <c r="K103" s="37"/>
      <c r="L103" s="38" t="str">
        <f aca="false">IF(C103="","",DATE(YEAR(C103),MONTH(C103),1))</f>
        <v/>
      </c>
      <c r="M103" s="34" t="str">
        <f aca="false">IF(F103="","",N(H103)+N(I103)-N(J103))</f>
        <v/>
      </c>
      <c r="N103" s="29"/>
    </row>
    <row r="104" customFormat="false" ht="15" hidden="false" customHeight="false" outlineLevel="0" collapsed="false">
      <c r="A104" s="29"/>
      <c r="B104" s="29"/>
      <c r="C104" s="31"/>
      <c r="D104" s="31"/>
      <c r="E104" s="35" t="str">
        <f aca="false">IF(OR(C104="",D104=""),"",MAX(1,D104-C104))</f>
        <v/>
      </c>
      <c r="F104" s="32"/>
      <c r="G104" s="36" t="str">
        <f aca="false">IF(B104="","",IFERROR(IF(N(INDEX(Fleet!$N$5:$N$79,MATCH(B104,Fleet!$A$5:$A$79,0)))&gt;0,INDEX(Fleet!$N$5:$N$79,MATCH(B104,Fleet!$A$5:$A$79,0)),Assumptions!$B$7),Assumptions!$B$7))</f>
        <v/>
      </c>
      <c r="H104" s="34" t="str">
        <f aca="false">IF(OR(F104="",G104=""),"",F104*G104)</f>
        <v/>
      </c>
      <c r="I104" s="32"/>
      <c r="J104" s="32"/>
      <c r="K104" s="37"/>
      <c r="L104" s="38" t="str">
        <f aca="false">IF(C104="","",DATE(YEAR(C104),MONTH(C104),1))</f>
        <v/>
      </c>
      <c r="M104" s="34" t="str">
        <f aca="false">IF(F104="","",N(H104)+N(I104)-N(J104))</f>
        <v/>
      </c>
      <c r="N104" s="29"/>
    </row>
    <row r="105" customFormat="false" ht="15" hidden="false" customHeight="false" outlineLevel="0" collapsed="false">
      <c r="A105" s="29"/>
      <c r="B105" s="29"/>
      <c r="C105" s="31"/>
      <c r="D105" s="31"/>
      <c r="E105" s="35" t="str">
        <f aca="false">IF(OR(C105="",D105=""),"",MAX(1,D105-C105))</f>
        <v/>
      </c>
      <c r="F105" s="32"/>
      <c r="G105" s="36" t="str">
        <f aca="false">IF(B105="","",IFERROR(IF(N(INDEX(Fleet!$N$5:$N$79,MATCH(B105,Fleet!$A$5:$A$79,0)))&gt;0,INDEX(Fleet!$N$5:$N$79,MATCH(B105,Fleet!$A$5:$A$79,0)),Assumptions!$B$7),Assumptions!$B$7))</f>
        <v/>
      </c>
      <c r="H105" s="34" t="str">
        <f aca="false">IF(OR(F105="",G105=""),"",F105*G105)</f>
        <v/>
      </c>
      <c r="I105" s="32"/>
      <c r="J105" s="32"/>
      <c r="K105" s="37"/>
      <c r="L105" s="38" t="str">
        <f aca="false">IF(C105="","",DATE(YEAR(C105),MONTH(C105),1))</f>
        <v/>
      </c>
      <c r="M105" s="34" t="str">
        <f aca="false">IF(F105="","",N(H105)+N(I105)-N(J105))</f>
        <v/>
      </c>
      <c r="N105" s="29"/>
    </row>
    <row r="106" customFormat="false" ht="15" hidden="false" customHeight="false" outlineLevel="0" collapsed="false">
      <c r="A106" s="29"/>
      <c r="B106" s="29"/>
      <c r="C106" s="31"/>
      <c r="D106" s="31"/>
      <c r="E106" s="35" t="str">
        <f aca="false">IF(OR(C106="",D106=""),"",MAX(1,D106-C106))</f>
        <v/>
      </c>
      <c r="F106" s="32"/>
      <c r="G106" s="36" t="str">
        <f aca="false">IF(B106="","",IFERROR(IF(N(INDEX(Fleet!$N$5:$N$79,MATCH(B106,Fleet!$A$5:$A$79,0)))&gt;0,INDEX(Fleet!$N$5:$N$79,MATCH(B106,Fleet!$A$5:$A$79,0)),Assumptions!$B$7),Assumptions!$B$7))</f>
        <v/>
      </c>
      <c r="H106" s="34" t="str">
        <f aca="false">IF(OR(F106="",G106=""),"",F106*G106)</f>
        <v/>
      </c>
      <c r="I106" s="32"/>
      <c r="J106" s="32"/>
      <c r="K106" s="37"/>
      <c r="L106" s="38" t="str">
        <f aca="false">IF(C106="","",DATE(YEAR(C106),MONTH(C106),1))</f>
        <v/>
      </c>
      <c r="M106" s="34" t="str">
        <f aca="false">IF(F106="","",N(H106)+N(I106)-N(J106))</f>
        <v/>
      </c>
      <c r="N106" s="29"/>
    </row>
    <row r="107" customFormat="false" ht="15" hidden="false" customHeight="false" outlineLevel="0" collapsed="false">
      <c r="A107" s="29"/>
      <c r="B107" s="29"/>
      <c r="C107" s="31"/>
      <c r="D107" s="31"/>
      <c r="E107" s="35" t="str">
        <f aca="false">IF(OR(C107="",D107=""),"",MAX(1,D107-C107))</f>
        <v/>
      </c>
      <c r="F107" s="32"/>
      <c r="G107" s="36" t="str">
        <f aca="false">IF(B107="","",IFERROR(IF(N(INDEX(Fleet!$N$5:$N$79,MATCH(B107,Fleet!$A$5:$A$79,0)))&gt;0,INDEX(Fleet!$N$5:$N$79,MATCH(B107,Fleet!$A$5:$A$79,0)),Assumptions!$B$7),Assumptions!$B$7))</f>
        <v/>
      </c>
      <c r="H107" s="34" t="str">
        <f aca="false">IF(OR(F107="",G107=""),"",F107*G107)</f>
        <v/>
      </c>
      <c r="I107" s="32"/>
      <c r="J107" s="32"/>
      <c r="K107" s="37"/>
      <c r="L107" s="38" t="str">
        <f aca="false">IF(C107="","",DATE(YEAR(C107),MONTH(C107),1))</f>
        <v/>
      </c>
      <c r="M107" s="34" t="str">
        <f aca="false">IF(F107="","",N(H107)+N(I107)-N(J107))</f>
        <v/>
      </c>
      <c r="N107" s="29"/>
    </row>
    <row r="108" customFormat="false" ht="15" hidden="false" customHeight="false" outlineLevel="0" collapsed="false">
      <c r="A108" s="29"/>
      <c r="B108" s="29"/>
      <c r="C108" s="31"/>
      <c r="D108" s="31"/>
      <c r="E108" s="35" t="str">
        <f aca="false">IF(OR(C108="",D108=""),"",MAX(1,D108-C108))</f>
        <v/>
      </c>
      <c r="F108" s="32"/>
      <c r="G108" s="36" t="str">
        <f aca="false">IF(B108="","",IFERROR(IF(N(INDEX(Fleet!$N$5:$N$79,MATCH(B108,Fleet!$A$5:$A$79,0)))&gt;0,INDEX(Fleet!$N$5:$N$79,MATCH(B108,Fleet!$A$5:$A$79,0)),Assumptions!$B$7),Assumptions!$B$7))</f>
        <v/>
      </c>
      <c r="H108" s="34" t="str">
        <f aca="false">IF(OR(F108="",G108=""),"",F108*G108)</f>
        <v/>
      </c>
      <c r="I108" s="32"/>
      <c r="J108" s="32"/>
      <c r="K108" s="37"/>
      <c r="L108" s="38" t="str">
        <f aca="false">IF(C108="","",DATE(YEAR(C108),MONTH(C108),1))</f>
        <v/>
      </c>
      <c r="M108" s="34" t="str">
        <f aca="false">IF(F108="","",N(H108)+N(I108)-N(J108))</f>
        <v/>
      </c>
      <c r="N108" s="29"/>
    </row>
    <row r="109" customFormat="false" ht="15" hidden="false" customHeight="false" outlineLevel="0" collapsed="false">
      <c r="A109" s="29"/>
      <c r="B109" s="29"/>
      <c r="C109" s="31"/>
      <c r="D109" s="31"/>
      <c r="E109" s="35" t="str">
        <f aca="false">IF(OR(C109="",D109=""),"",MAX(1,D109-C109))</f>
        <v/>
      </c>
      <c r="F109" s="32"/>
      <c r="G109" s="36" t="str">
        <f aca="false">IF(B109="","",IFERROR(IF(N(INDEX(Fleet!$N$5:$N$79,MATCH(B109,Fleet!$A$5:$A$79,0)))&gt;0,INDEX(Fleet!$N$5:$N$79,MATCH(B109,Fleet!$A$5:$A$79,0)),Assumptions!$B$7),Assumptions!$B$7))</f>
        <v/>
      </c>
      <c r="H109" s="34" t="str">
        <f aca="false">IF(OR(F109="",G109=""),"",F109*G109)</f>
        <v/>
      </c>
      <c r="I109" s="32"/>
      <c r="J109" s="32"/>
      <c r="K109" s="37"/>
      <c r="L109" s="38" t="str">
        <f aca="false">IF(C109="","",DATE(YEAR(C109),MONTH(C109),1))</f>
        <v/>
      </c>
      <c r="M109" s="34" t="str">
        <f aca="false">IF(F109="","",N(H109)+N(I109)-N(J109))</f>
        <v/>
      </c>
      <c r="N109" s="29"/>
    </row>
    <row r="110" customFormat="false" ht="15" hidden="false" customHeight="false" outlineLevel="0" collapsed="false">
      <c r="A110" s="29"/>
      <c r="B110" s="29"/>
      <c r="C110" s="31"/>
      <c r="D110" s="31"/>
      <c r="E110" s="35" t="str">
        <f aca="false">IF(OR(C110="",D110=""),"",MAX(1,D110-C110))</f>
        <v/>
      </c>
      <c r="F110" s="32"/>
      <c r="G110" s="36" t="str">
        <f aca="false">IF(B110="","",IFERROR(IF(N(INDEX(Fleet!$N$5:$N$79,MATCH(B110,Fleet!$A$5:$A$79,0)))&gt;0,INDEX(Fleet!$N$5:$N$79,MATCH(B110,Fleet!$A$5:$A$79,0)),Assumptions!$B$7),Assumptions!$B$7))</f>
        <v/>
      </c>
      <c r="H110" s="34" t="str">
        <f aca="false">IF(OR(F110="",G110=""),"",F110*G110)</f>
        <v/>
      </c>
      <c r="I110" s="32"/>
      <c r="J110" s="32"/>
      <c r="K110" s="37"/>
      <c r="L110" s="38" t="str">
        <f aca="false">IF(C110="","",DATE(YEAR(C110),MONTH(C110),1))</f>
        <v/>
      </c>
      <c r="M110" s="34" t="str">
        <f aca="false">IF(F110="","",N(H110)+N(I110)-N(J110))</f>
        <v/>
      </c>
      <c r="N110" s="29"/>
    </row>
    <row r="111" customFormat="false" ht="15" hidden="false" customHeight="false" outlineLevel="0" collapsed="false">
      <c r="A111" s="29"/>
      <c r="B111" s="29"/>
      <c r="C111" s="31"/>
      <c r="D111" s="31"/>
      <c r="E111" s="35" t="str">
        <f aca="false">IF(OR(C111="",D111=""),"",MAX(1,D111-C111))</f>
        <v/>
      </c>
      <c r="F111" s="32"/>
      <c r="G111" s="36" t="str">
        <f aca="false">IF(B111="","",IFERROR(IF(N(INDEX(Fleet!$N$5:$N$79,MATCH(B111,Fleet!$A$5:$A$79,0)))&gt;0,INDEX(Fleet!$N$5:$N$79,MATCH(B111,Fleet!$A$5:$A$79,0)),Assumptions!$B$7),Assumptions!$B$7))</f>
        <v/>
      </c>
      <c r="H111" s="34" t="str">
        <f aca="false">IF(OR(F111="",G111=""),"",F111*G111)</f>
        <v/>
      </c>
      <c r="I111" s="32"/>
      <c r="J111" s="32"/>
      <c r="K111" s="37"/>
      <c r="L111" s="38" t="str">
        <f aca="false">IF(C111="","",DATE(YEAR(C111),MONTH(C111),1))</f>
        <v/>
      </c>
      <c r="M111" s="34" t="str">
        <f aca="false">IF(F111="","",N(H111)+N(I111)-N(J111))</f>
        <v/>
      </c>
      <c r="N111" s="29"/>
    </row>
    <row r="112" customFormat="false" ht="15" hidden="false" customHeight="false" outlineLevel="0" collapsed="false">
      <c r="A112" s="29"/>
      <c r="B112" s="29"/>
      <c r="C112" s="31"/>
      <c r="D112" s="31"/>
      <c r="E112" s="35" t="str">
        <f aca="false">IF(OR(C112="",D112=""),"",MAX(1,D112-C112))</f>
        <v/>
      </c>
      <c r="F112" s="32"/>
      <c r="G112" s="36" t="str">
        <f aca="false">IF(B112="","",IFERROR(IF(N(INDEX(Fleet!$N$5:$N$79,MATCH(B112,Fleet!$A$5:$A$79,0)))&gt;0,INDEX(Fleet!$N$5:$N$79,MATCH(B112,Fleet!$A$5:$A$79,0)),Assumptions!$B$7),Assumptions!$B$7))</f>
        <v/>
      </c>
      <c r="H112" s="34" t="str">
        <f aca="false">IF(OR(F112="",G112=""),"",F112*G112)</f>
        <v/>
      </c>
      <c r="I112" s="32"/>
      <c r="J112" s="32"/>
      <c r="K112" s="37"/>
      <c r="L112" s="38" t="str">
        <f aca="false">IF(C112="","",DATE(YEAR(C112),MONTH(C112),1))</f>
        <v/>
      </c>
      <c r="M112" s="34" t="str">
        <f aca="false">IF(F112="","",N(H112)+N(I112)-N(J112))</f>
        <v/>
      </c>
      <c r="N112" s="29"/>
    </row>
    <row r="113" customFormat="false" ht="15" hidden="false" customHeight="false" outlineLevel="0" collapsed="false">
      <c r="A113" s="29"/>
      <c r="B113" s="29"/>
      <c r="C113" s="31"/>
      <c r="D113" s="31"/>
      <c r="E113" s="35" t="str">
        <f aca="false">IF(OR(C113="",D113=""),"",MAX(1,D113-C113))</f>
        <v/>
      </c>
      <c r="F113" s="32"/>
      <c r="G113" s="36" t="str">
        <f aca="false">IF(B113="","",IFERROR(IF(N(INDEX(Fleet!$N$5:$N$79,MATCH(B113,Fleet!$A$5:$A$79,0)))&gt;0,INDEX(Fleet!$N$5:$N$79,MATCH(B113,Fleet!$A$5:$A$79,0)),Assumptions!$B$7),Assumptions!$B$7))</f>
        <v/>
      </c>
      <c r="H113" s="34" t="str">
        <f aca="false">IF(OR(F113="",G113=""),"",F113*G113)</f>
        <v/>
      </c>
      <c r="I113" s="32"/>
      <c r="J113" s="32"/>
      <c r="K113" s="37"/>
      <c r="L113" s="38" t="str">
        <f aca="false">IF(C113="","",DATE(YEAR(C113),MONTH(C113),1))</f>
        <v/>
      </c>
      <c r="M113" s="34" t="str">
        <f aca="false">IF(F113="","",N(H113)+N(I113)-N(J113))</f>
        <v/>
      </c>
      <c r="N113" s="29"/>
    </row>
    <row r="114" customFormat="false" ht="15" hidden="false" customHeight="false" outlineLevel="0" collapsed="false">
      <c r="A114" s="29"/>
      <c r="B114" s="29"/>
      <c r="C114" s="31"/>
      <c r="D114" s="31"/>
      <c r="E114" s="35" t="str">
        <f aca="false">IF(OR(C114="",D114=""),"",MAX(1,D114-C114))</f>
        <v/>
      </c>
      <c r="F114" s="32"/>
      <c r="G114" s="36" t="str">
        <f aca="false">IF(B114="","",IFERROR(IF(N(INDEX(Fleet!$N$5:$N$79,MATCH(B114,Fleet!$A$5:$A$79,0)))&gt;0,INDEX(Fleet!$N$5:$N$79,MATCH(B114,Fleet!$A$5:$A$79,0)),Assumptions!$B$7),Assumptions!$B$7))</f>
        <v/>
      </c>
      <c r="H114" s="34" t="str">
        <f aca="false">IF(OR(F114="",G114=""),"",F114*G114)</f>
        <v/>
      </c>
      <c r="I114" s="32"/>
      <c r="J114" s="32"/>
      <c r="K114" s="37"/>
      <c r="L114" s="38" t="str">
        <f aca="false">IF(C114="","",DATE(YEAR(C114),MONTH(C114),1))</f>
        <v/>
      </c>
      <c r="M114" s="34" t="str">
        <f aca="false">IF(F114="","",N(H114)+N(I114)-N(J114))</f>
        <v/>
      </c>
      <c r="N114" s="29"/>
    </row>
    <row r="115" customFormat="false" ht="15" hidden="false" customHeight="false" outlineLevel="0" collapsed="false">
      <c r="A115" s="29"/>
      <c r="B115" s="29"/>
      <c r="C115" s="31"/>
      <c r="D115" s="31"/>
      <c r="E115" s="35" t="str">
        <f aca="false">IF(OR(C115="",D115=""),"",MAX(1,D115-C115))</f>
        <v/>
      </c>
      <c r="F115" s="32"/>
      <c r="G115" s="36" t="str">
        <f aca="false">IF(B115="","",IFERROR(IF(N(INDEX(Fleet!$N$5:$N$79,MATCH(B115,Fleet!$A$5:$A$79,0)))&gt;0,INDEX(Fleet!$N$5:$N$79,MATCH(B115,Fleet!$A$5:$A$79,0)),Assumptions!$B$7),Assumptions!$B$7))</f>
        <v/>
      </c>
      <c r="H115" s="34" t="str">
        <f aca="false">IF(OR(F115="",G115=""),"",F115*G115)</f>
        <v/>
      </c>
      <c r="I115" s="32"/>
      <c r="J115" s="32"/>
      <c r="K115" s="37"/>
      <c r="L115" s="38" t="str">
        <f aca="false">IF(C115="","",DATE(YEAR(C115),MONTH(C115),1))</f>
        <v/>
      </c>
      <c r="M115" s="34" t="str">
        <f aca="false">IF(F115="","",N(H115)+N(I115)-N(J115))</f>
        <v/>
      </c>
      <c r="N115" s="29"/>
    </row>
    <row r="116" customFormat="false" ht="15" hidden="false" customHeight="false" outlineLevel="0" collapsed="false">
      <c r="A116" s="29"/>
      <c r="B116" s="29"/>
      <c r="C116" s="31"/>
      <c r="D116" s="31"/>
      <c r="E116" s="35" t="str">
        <f aca="false">IF(OR(C116="",D116=""),"",MAX(1,D116-C116))</f>
        <v/>
      </c>
      <c r="F116" s="32"/>
      <c r="G116" s="36" t="str">
        <f aca="false">IF(B116="","",IFERROR(IF(N(INDEX(Fleet!$N$5:$N$79,MATCH(B116,Fleet!$A$5:$A$79,0)))&gt;0,INDEX(Fleet!$N$5:$N$79,MATCH(B116,Fleet!$A$5:$A$79,0)),Assumptions!$B$7),Assumptions!$B$7))</f>
        <v/>
      </c>
      <c r="H116" s="34" t="str">
        <f aca="false">IF(OR(F116="",G116=""),"",F116*G116)</f>
        <v/>
      </c>
      <c r="I116" s="32"/>
      <c r="J116" s="32"/>
      <c r="K116" s="37"/>
      <c r="L116" s="38" t="str">
        <f aca="false">IF(C116="","",DATE(YEAR(C116),MONTH(C116),1))</f>
        <v/>
      </c>
      <c r="M116" s="34" t="str">
        <f aca="false">IF(F116="","",N(H116)+N(I116)-N(J116))</f>
        <v/>
      </c>
      <c r="N116" s="29"/>
    </row>
    <row r="117" customFormat="false" ht="15" hidden="false" customHeight="false" outlineLevel="0" collapsed="false">
      <c r="A117" s="29"/>
      <c r="B117" s="29"/>
      <c r="C117" s="31"/>
      <c r="D117" s="31"/>
      <c r="E117" s="35" t="str">
        <f aca="false">IF(OR(C117="",D117=""),"",MAX(1,D117-C117))</f>
        <v/>
      </c>
      <c r="F117" s="32"/>
      <c r="G117" s="36" t="str">
        <f aca="false">IF(B117="","",IFERROR(IF(N(INDEX(Fleet!$N$5:$N$79,MATCH(B117,Fleet!$A$5:$A$79,0)))&gt;0,INDEX(Fleet!$N$5:$N$79,MATCH(B117,Fleet!$A$5:$A$79,0)),Assumptions!$B$7),Assumptions!$B$7))</f>
        <v/>
      </c>
      <c r="H117" s="34" t="str">
        <f aca="false">IF(OR(F117="",G117=""),"",F117*G117)</f>
        <v/>
      </c>
      <c r="I117" s="32"/>
      <c r="J117" s="32"/>
      <c r="K117" s="37"/>
      <c r="L117" s="38" t="str">
        <f aca="false">IF(C117="","",DATE(YEAR(C117),MONTH(C117),1))</f>
        <v/>
      </c>
      <c r="M117" s="34" t="str">
        <f aca="false">IF(F117="","",N(H117)+N(I117)-N(J117))</f>
        <v/>
      </c>
      <c r="N117" s="29"/>
    </row>
    <row r="118" customFormat="false" ht="15" hidden="false" customHeight="false" outlineLevel="0" collapsed="false">
      <c r="A118" s="29"/>
      <c r="B118" s="29"/>
      <c r="C118" s="31"/>
      <c r="D118" s="31"/>
      <c r="E118" s="35" t="str">
        <f aca="false">IF(OR(C118="",D118=""),"",MAX(1,D118-C118))</f>
        <v/>
      </c>
      <c r="F118" s="32"/>
      <c r="G118" s="36" t="str">
        <f aca="false">IF(B118="","",IFERROR(IF(N(INDEX(Fleet!$N$5:$N$79,MATCH(B118,Fleet!$A$5:$A$79,0)))&gt;0,INDEX(Fleet!$N$5:$N$79,MATCH(B118,Fleet!$A$5:$A$79,0)),Assumptions!$B$7),Assumptions!$B$7))</f>
        <v/>
      </c>
      <c r="H118" s="34" t="str">
        <f aca="false">IF(OR(F118="",G118=""),"",F118*G118)</f>
        <v/>
      </c>
      <c r="I118" s="32"/>
      <c r="J118" s="32"/>
      <c r="K118" s="37"/>
      <c r="L118" s="38" t="str">
        <f aca="false">IF(C118="","",DATE(YEAR(C118),MONTH(C118),1))</f>
        <v/>
      </c>
      <c r="M118" s="34" t="str">
        <f aca="false">IF(F118="","",N(H118)+N(I118)-N(J118))</f>
        <v/>
      </c>
      <c r="N118" s="29"/>
    </row>
    <row r="119" customFormat="false" ht="15" hidden="false" customHeight="false" outlineLevel="0" collapsed="false">
      <c r="A119" s="29"/>
      <c r="B119" s="29"/>
      <c r="C119" s="31"/>
      <c r="D119" s="31"/>
      <c r="E119" s="35" t="str">
        <f aca="false">IF(OR(C119="",D119=""),"",MAX(1,D119-C119))</f>
        <v/>
      </c>
      <c r="F119" s="32"/>
      <c r="G119" s="36" t="str">
        <f aca="false">IF(B119="","",IFERROR(IF(N(INDEX(Fleet!$N$5:$N$79,MATCH(B119,Fleet!$A$5:$A$79,0)))&gt;0,INDEX(Fleet!$N$5:$N$79,MATCH(B119,Fleet!$A$5:$A$79,0)),Assumptions!$B$7),Assumptions!$B$7))</f>
        <v/>
      </c>
      <c r="H119" s="34" t="str">
        <f aca="false">IF(OR(F119="",G119=""),"",F119*G119)</f>
        <v/>
      </c>
      <c r="I119" s="32"/>
      <c r="J119" s="32"/>
      <c r="K119" s="37"/>
      <c r="L119" s="38" t="str">
        <f aca="false">IF(C119="","",DATE(YEAR(C119),MONTH(C119),1))</f>
        <v/>
      </c>
      <c r="M119" s="34" t="str">
        <f aca="false">IF(F119="","",N(H119)+N(I119)-N(J119))</f>
        <v/>
      </c>
      <c r="N119" s="29"/>
    </row>
    <row r="120" customFormat="false" ht="15" hidden="false" customHeight="false" outlineLevel="0" collapsed="false">
      <c r="A120" s="29"/>
      <c r="B120" s="29"/>
      <c r="C120" s="31"/>
      <c r="D120" s="31"/>
      <c r="E120" s="35" t="str">
        <f aca="false">IF(OR(C120="",D120=""),"",MAX(1,D120-C120))</f>
        <v/>
      </c>
      <c r="F120" s="32"/>
      <c r="G120" s="36" t="str">
        <f aca="false">IF(B120="","",IFERROR(IF(N(INDEX(Fleet!$N$5:$N$79,MATCH(B120,Fleet!$A$5:$A$79,0)))&gt;0,INDEX(Fleet!$N$5:$N$79,MATCH(B120,Fleet!$A$5:$A$79,0)),Assumptions!$B$7),Assumptions!$B$7))</f>
        <v/>
      </c>
      <c r="H120" s="34" t="str">
        <f aca="false">IF(OR(F120="",G120=""),"",F120*G120)</f>
        <v/>
      </c>
      <c r="I120" s="32"/>
      <c r="J120" s="32"/>
      <c r="K120" s="37"/>
      <c r="L120" s="38" t="str">
        <f aca="false">IF(C120="","",DATE(YEAR(C120),MONTH(C120),1))</f>
        <v/>
      </c>
      <c r="M120" s="34" t="str">
        <f aca="false">IF(F120="","",N(H120)+N(I120)-N(J120))</f>
        <v/>
      </c>
      <c r="N120" s="29"/>
    </row>
    <row r="121" customFormat="false" ht="15" hidden="false" customHeight="false" outlineLevel="0" collapsed="false">
      <c r="A121" s="29"/>
      <c r="B121" s="29"/>
      <c r="C121" s="31"/>
      <c r="D121" s="31"/>
      <c r="E121" s="35" t="str">
        <f aca="false">IF(OR(C121="",D121=""),"",MAX(1,D121-C121))</f>
        <v/>
      </c>
      <c r="F121" s="32"/>
      <c r="G121" s="36" t="str">
        <f aca="false">IF(B121="","",IFERROR(IF(N(INDEX(Fleet!$N$5:$N$79,MATCH(B121,Fleet!$A$5:$A$79,0)))&gt;0,INDEX(Fleet!$N$5:$N$79,MATCH(B121,Fleet!$A$5:$A$79,0)),Assumptions!$B$7),Assumptions!$B$7))</f>
        <v/>
      </c>
      <c r="H121" s="34" t="str">
        <f aca="false">IF(OR(F121="",G121=""),"",F121*G121)</f>
        <v/>
      </c>
      <c r="I121" s="32"/>
      <c r="J121" s="32"/>
      <c r="K121" s="37"/>
      <c r="L121" s="38" t="str">
        <f aca="false">IF(C121="","",DATE(YEAR(C121),MONTH(C121),1))</f>
        <v/>
      </c>
      <c r="M121" s="34" t="str">
        <f aca="false">IF(F121="","",N(H121)+N(I121)-N(J121))</f>
        <v/>
      </c>
      <c r="N121" s="29"/>
    </row>
    <row r="122" customFormat="false" ht="15" hidden="false" customHeight="false" outlineLevel="0" collapsed="false">
      <c r="A122" s="29"/>
      <c r="B122" s="29"/>
      <c r="C122" s="31"/>
      <c r="D122" s="31"/>
      <c r="E122" s="35" t="str">
        <f aca="false">IF(OR(C122="",D122=""),"",MAX(1,D122-C122))</f>
        <v/>
      </c>
      <c r="F122" s="32"/>
      <c r="G122" s="36" t="str">
        <f aca="false">IF(B122="","",IFERROR(IF(N(INDEX(Fleet!$N$5:$N$79,MATCH(B122,Fleet!$A$5:$A$79,0)))&gt;0,INDEX(Fleet!$N$5:$N$79,MATCH(B122,Fleet!$A$5:$A$79,0)),Assumptions!$B$7),Assumptions!$B$7))</f>
        <v/>
      </c>
      <c r="H122" s="34" t="str">
        <f aca="false">IF(OR(F122="",G122=""),"",F122*G122)</f>
        <v/>
      </c>
      <c r="I122" s="32"/>
      <c r="J122" s="32"/>
      <c r="K122" s="37"/>
      <c r="L122" s="38" t="str">
        <f aca="false">IF(C122="","",DATE(YEAR(C122),MONTH(C122),1))</f>
        <v/>
      </c>
      <c r="M122" s="34" t="str">
        <f aca="false">IF(F122="","",N(H122)+N(I122)-N(J122))</f>
        <v/>
      </c>
      <c r="N122" s="29"/>
    </row>
    <row r="123" customFormat="false" ht="15" hidden="false" customHeight="false" outlineLevel="0" collapsed="false">
      <c r="A123" s="29"/>
      <c r="B123" s="29"/>
      <c r="C123" s="31"/>
      <c r="D123" s="31"/>
      <c r="E123" s="35" t="str">
        <f aca="false">IF(OR(C123="",D123=""),"",MAX(1,D123-C123))</f>
        <v/>
      </c>
      <c r="F123" s="32"/>
      <c r="G123" s="36" t="str">
        <f aca="false">IF(B123="","",IFERROR(IF(N(INDEX(Fleet!$N$5:$N$79,MATCH(B123,Fleet!$A$5:$A$79,0)))&gt;0,INDEX(Fleet!$N$5:$N$79,MATCH(B123,Fleet!$A$5:$A$79,0)),Assumptions!$B$7),Assumptions!$B$7))</f>
        <v/>
      </c>
      <c r="H123" s="34" t="str">
        <f aca="false">IF(OR(F123="",G123=""),"",F123*G123)</f>
        <v/>
      </c>
      <c r="I123" s="32"/>
      <c r="J123" s="32"/>
      <c r="K123" s="37"/>
      <c r="L123" s="38" t="str">
        <f aca="false">IF(C123="","",DATE(YEAR(C123),MONTH(C123),1))</f>
        <v/>
      </c>
      <c r="M123" s="34" t="str">
        <f aca="false">IF(F123="","",N(H123)+N(I123)-N(J123))</f>
        <v/>
      </c>
      <c r="N123" s="29"/>
    </row>
    <row r="124" customFormat="false" ht="15" hidden="false" customHeight="false" outlineLevel="0" collapsed="false">
      <c r="A124" s="29"/>
      <c r="B124" s="29"/>
      <c r="C124" s="31"/>
      <c r="D124" s="31"/>
      <c r="E124" s="35" t="str">
        <f aca="false">IF(OR(C124="",D124=""),"",MAX(1,D124-C124))</f>
        <v/>
      </c>
      <c r="F124" s="32"/>
      <c r="G124" s="36" t="str">
        <f aca="false">IF(B124="","",IFERROR(IF(N(INDEX(Fleet!$N$5:$N$79,MATCH(B124,Fleet!$A$5:$A$79,0)))&gt;0,INDEX(Fleet!$N$5:$N$79,MATCH(B124,Fleet!$A$5:$A$79,0)),Assumptions!$B$7),Assumptions!$B$7))</f>
        <v/>
      </c>
      <c r="H124" s="34" t="str">
        <f aca="false">IF(OR(F124="",G124=""),"",F124*G124)</f>
        <v/>
      </c>
      <c r="I124" s="32"/>
      <c r="J124" s="32"/>
      <c r="K124" s="37"/>
      <c r="L124" s="38" t="str">
        <f aca="false">IF(C124="","",DATE(YEAR(C124),MONTH(C124),1))</f>
        <v/>
      </c>
      <c r="M124" s="34" t="str">
        <f aca="false">IF(F124="","",N(H124)+N(I124)-N(J124))</f>
        <v/>
      </c>
      <c r="N124" s="29"/>
    </row>
    <row r="125" customFormat="false" ht="15" hidden="false" customHeight="false" outlineLevel="0" collapsed="false">
      <c r="A125" s="29"/>
      <c r="B125" s="29"/>
      <c r="C125" s="31"/>
      <c r="D125" s="31"/>
      <c r="E125" s="35" t="str">
        <f aca="false">IF(OR(C125="",D125=""),"",MAX(1,D125-C125))</f>
        <v/>
      </c>
      <c r="F125" s="32"/>
      <c r="G125" s="36" t="str">
        <f aca="false">IF(B125="","",IFERROR(IF(N(INDEX(Fleet!$N$5:$N$79,MATCH(B125,Fleet!$A$5:$A$79,0)))&gt;0,INDEX(Fleet!$N$5:$N$79,MATCH(B125,Fleet!$A$5:$A$79,0)),Assumptions!$B$7),Assumptions!$B$7))</f>
        <v/>
      </c>
      <c r="H125" s="34" t="str">
        <f aca="false">IF(OR(F125="",G125=""),"",F125*G125)</f>
        <v/>
      </c>
      <c r="I125" s="32"/>
      <c r="J125" s="32"/>
      <c r="K125" s="37"/>
      <c r="L125" s="38" t="str">
        <f aca="false">IF(C125="","",DATE(YEAR(C125),MONTH(C125),1))</f>
        <v/>
      </c>
      <c r="M125" s="34" t="str">
        <f aca="false">IF(F125="","",N(H125)+N(I125)-N(J125))</f>
        <v/>
      </c>
      <c r="N125" s="29"/>
    </row>
    <row r="126" customFormat="false" ht="15" hidden="false" customHeight="false" outlineLevel="0" collapsed="false">
      <c r="A126" s="29"/>
      <c r="B126" s="29"/>
      <c r="C126" s="31"/>
      <c r="D126" s="31"/>
      <c r="E126" s="35" t="str">
        <f aca="false">IF(OR(C126="",D126=""),"",MAX(1,D126-C126))</f>
        <v/>
      </c>
      <c r="F126" s="32"/>
      <c r="G126" s="36" t="str">
        <f aca="false">IF(B126="","",IFERROR(IF(N(INDEX(Fleet!$N$5:$N$79,MATCH(B126,Fleet!$A$5:$A$79,0)))&gt;0,INDEX(Fleet!$N$5:$N$79,MATCH(B126,Fleet!$A$5:$A$79,0)),Assumptions!$B$7),Assumptions!$B$7))</f>
        <v/>
      </c>
      <c r="H126" s="34" t="str">
        <f aca="false">IF(OR(F126="",G126=""),"",F126*G126)</f>
        <v/>
      </c>
      <c r="I126" s="32"/>
      <c r="J126" s="32"/>
      <c r="K126" s="37"/>
      <c r="L126" s="38" t="str">
        <f aca="false">IF(C126="","",DATE(YEAR(C126),MONTH(C126),1))</f>
        <v/>
      </c>
      <c r="M126" s="34" t="str">
        <f aca="false">IF(F126="","",N(H126)+N(I126)-N(J126))</f>
        <v/>
      </c>
      <c r="N126" s="29"/>
    </row>
    <row r="127" customFormat="false" ht="15" hidden="false" customHeight="false" outlineLevel="0" collapsed="false">
      <c r="A127" s="29"/>
      <c r="B127" s="29"/>
      <c r="C127" s="31"/>
      <c r="D127" s="31"/>
      <c r="E127" s="35" t="str">
        <f aca="false">IF(OR(C127="",D127=""),"",MAX(1,D127-C127))</f>
        <v/>
      </c>
      <c r="F127" s="32"/>
      <c r="G127" s="36" t="str">
        <f aca="false">IF(B127="","",IFERROR(IF(N(INDEX(Fleet!$N$5:$N$79,MATCH(B127,Fleet!$A$5:$A$79,0)))&gt;0,INDEX(Fleet!$N$5:$N$79,MATCH(B127,Fleet!$A$5:$A$79,0)),Assumptions!$B$7),Assumptions!$B$7))</f>
        <v/>
      </c>
      <c r="H127" s="34" t="str">
        <f aca="false">IF(OR(F127="",G127=""),"",F127*G127)</f>
        <v/>
      </c>
      <c r="I127" s="32"/>
      <c r="J127" s="32"/>
      <c r="K127" s="37"/>
      <c r="L127" s="38" t="str">
        <f aca="false">IF(C127="","",DATE(YEAR(C127),MONTH(C127),1))</f>
        <v/>
      </c>
      <c r="M127" s="34" t="str">
        <f aca="false">IF(F127="","",N(H127)+N(I127)-N(J127))</f>
        <v/>
      </c>
      <c r="N127" s="29"/>
    </row>
    <row r="128" customFormat="false" ht="15" hidden="false" customHeight="false" outlineLevel="0" collapsed="false">
      <c r="A128" s="29"/>
      <c r="B128" s="29"/>
      <c r="C128" s="31"/>
      <c r="D128" s="31"/>
      <c r="E128" s="35" t="str">
        <f aca="false">IF(OR(C128="",D128=""),"",MAX(1,D128-C128))</f>
        <v/>
      </c>
      <c r="F128" s="32"/>
      <c r="G128" s="36" t="str">
        <f aca="false">IF(B128="","",IFERROR(IF(N(INDEX(Fleet!$N$5:$N$79,MATCH(B128,Fleet!$A$5:$A$79,0)))&gt;0,INDEX(Fleet!$N$5:$N$79,MATCH(B128,Fleet!$A$5:$A$79,0)),Assumptions!$B$7),Assumptions!$B$7))</f>
        <v/>
      </c>
      <c r="H128" s="34" t="str">
        <f aca="false">IF(OR(F128="",G128=""),"",F128*G128)</f>
        <v/>
      </c>
      <c r="I128" s="32"/>
      <c r="J128" s="32"/>
      <c r="K128" s="37"/>
      <c r="L128" s="38" t="str">
        <f aca="false">IF(C128="","",DATE(YEAR(C128),MONTH(C128),1))</f>
        <v/>
      </c>
      <c r="M128" s="34" t="str">
        <f aca="false">IF(F128="","",N(H128)+N(I128)-N(J128))</f>
        <v/>
      </c>
      <c r="N128" s="29"/>
    </row>
    <row r="129" customFormat="false" ht="15" hidden="false" customHeight="false" outlineLevel="0" collapsed="false">
      <c r="A129" s="29"/>
      <c r="B129" s="29"/>
      <c r="C129" s="31"/>
      <c r="D129" s="31"/>
      <c r="E129" s="35" t="str">
        <f aca="false">IF(OR(C129="",D129=""),"",MAX(1,D129-C129))</f>
        <v/>
      </c>
      <c r="F129" s="32"/>
      <c r="G129" s="36" t="str">
        <f aca="false">IF(B129="","",IFERROR(IF(N(INDEX(Fleet!$N$5:$N$79,MATCH(B129,Fleet!$A$5:$A$79,0)))&gt;0,INDEX(Fleet!$N$5:$N$79,MATCH(B129,Fleet!$A$5:$A$79,0)),Assumptions!$B$7),Assumptions!$B$7))</f>
        <v/>
      </c>
      <c r="H129" s="34" t="str">
        <f aca="false">IF(OR(F129="",G129=""),"",F129*G129)</f>
        <v/>
      </c>
      <c r="I129" s="32"/>
      <c r="J129" s="32"/>
      <c r="K129" s="37"/>
      <c r="L129" s="38" t="str">
        <f aca="false">IF(C129="","",DATE(YEAR(C129),MONTH(C129),1))</f>
        <v/>
      </c>
      <c r="M129" s="34" t="str">
        <f aca="false">IF(F129="","",N(H129)+N(I129)-N(J129))</f>
        <v/>
      </c>
      <c r="N129" s="29"/>
    </row>
    <row r="130" customFormat="false" ht="15" hidden="false" customHeight="false" outlineLevel="0" collapsed="false">
      <c r="A130" s="29"/>
      <c r="B130" s="29"/>
      <c r="C130" s="31"/>
      <c r="D130" s="31"/>
      <c r="E130" s="35" t="str">
        <f aca="false">IF(OR(C130="",D130=""),"",MAX(1,D130-C130))</f>
        <v/>
      </c>
      <c r="F130" s="32"/>
      <c r="G130" s="36" t="str">
        <f aca="false">IF(B130="","",IFERROR(IF(N(INDEX(Fleet!$N$5:$N$79,MATCH(B130,Fleet!$A$5:$A$79,0)))&gt;0,INDEX(Fleet!$N$5:$N$79,MATCH(B130,Fleet!$A$5:$A$79,0)),Assumptions!$B$7),Assumptions!$B$7))</f>
        <v/>
      </c>
      <c r="H130" s="34" t="str">
        <f aca="false">IF(OR(F130="",G130=""),"",F130*G130)</f>
        <v/>
      </c>
      <c r="I130" s="32"/>
      <c r="J130" s="32"/>
      <c r="K130" s="37"/>
      <c r="L130" s="38" t="str">
        <f aca="false">IF(C130="","",DATE(YEAR(C130),MONTH(C130),1))</f>
        <v/>
      </c>
      <c r="M130" s="34" t="str">
        <f aca="false">IF(F130="","",N(H130)+N(I130)-N(J130))</f>
        <v/>
      </c>
      <c r="N130" s="29"/>
    </row>
    <row r="131" customFormat="false" ht="15" hidden="false" customHeight="false" outlineLevel="0" collapsed="false">
      <c r="A131" s="29"/>
      <c r="B131" s="29"/>
      <c r="C131" s="31"/>
      <c r="D131" s="31"/>
      <c r="E131" s="35" t="str">
        <f aca="false">IF(OR(C131="",D131=""),"",MAX(1,D131-C131))</f>
        <v/>
      </c>
      <c r="F131" s="32"/>
      <c r="G131" s="36" t="str">
        <f aca="false">IF(B131="","",IFERROR(IF(N(INDEX(Fleet!$N$5:$N$79,MATCH(B131,Fleet!$A$5:$A$79,0)))&gt;0,INDEX(Fleet!$N$5:$N$79,MATCH(B131,Fleet!$A$5:$A$79,0)),Assumptions!$B$7),Assumptions!$B$7))</f>
        <v/>
      </c>
      <c r="H131" s="34" t="str">
        <f aca="false">IF(OR(F131="",G131=""),"",F131*G131)</f>
        <v/>
      </c>
      <c r="I131" s="32"/>
      <c r="J131" s="32"/>
      <c r="K131" s="37"/>
      <c r="L131" s="38" t="str">
        <f aca="false">IF(C131="","",DATE(YEAR(C131),MONTH(C131),1))</f>
        <v/>
      </c>
      <c r="M131" s="34" t="str">
        <f aca="false">IF(F131="","",N(H131)+N(I131)-N(J131))</f>
        <v/>
      </c>
      <c r="N131" s="29"/>
    </row>
    <row r="132" customFormat="false" ht="15" hidden="false" customHeight="false" outlineLevel="0" collapsed="false">
      <c r="A132" s="29"/>
      <c r="B132" s="29"/>
      <c r="C132" s="31"/>
      <c r="D132" s="31"/>
      <c r="E132" s="35" t="str">
        <f aca="false">IF(OR(C132="",D132=""),"",MAX(1,D132-C132))</f>
        <v/>
      </c>
      <c r="F132" s="32"/>
      <c r="G132" s="36" t="str">
        <f aca="false">IF(B132="","",IFERROR(IF(N(INDEX(Fleet!$N$5:$N$79,MATCH(B132,Fleet!$A$5:$A$79,0)))&gt;0,INDEX(Fleet!$N$5:$N$79,MATCH(B132,Fleet!$A$5:$A$79,0)),Assumptions!$B$7),Assumptions!$B$7))</f>
        <v/>
      </c>
      <c r="H132" s="34" t="str">
        <f aca="false">IF(OR(F132="",G132=""),"",F132*G132)</f>
        <v/>
      </c>
      <c r="I132" s="32"/>
      <c r="J132" s="32"/>
      <c r="K132" s="37"/>
      <c r="L132" s="38" t="str">
        <f aca="false">IF(C132="","",DATE(YEAR(C132),MONTH(C132),1))</f>
        <v/>
      </c>
      <c r="M132" s="34" t="str">
        <f aca="false">IF(F132="","",N(H132)+N(I132)-N(J132))</f>
        <v/>
      </c>
      <c r="N132" s="29"/>
    </row>
    <row r="133" customFormat="false" ht="15" hidden="false" customHeight="false" outlineLevel="0" collapsed="false">
      <c r="A133" s="29"/>
      <c r="B133" s="29"/>
      <c r="C133" s="31"/>
      <c r="D133" s="31"/>
      <c r="E133" s="35" t="str">
        <f aca="false">IF(OR(C133="",D133=""),"",MAX(1,D133-C133))</f>
        <v/>
      </c>
      <c r="F133" s="32"/>
      <c r="G133" s="36" t="str">
        <f aca="false">IF(B133="","",IFERROR(IF(N(INDEX(Fleet!$N$5:$N$79,MATCH(B133,Fleet!$A$5:$A$79,0)))&gt;0,INDEX(Fleet!$N$5:$N$79,MATCH(B133,Fleet!$A$5:$A$79,0)),Assumptions!$B$7),Assumptions!$B$7))</f>
        <v/>
      </c>
      <c r="H133" s="34" t="str">
        <f aca="false">IF(OR(F133="",G133=""),"",F133*G133)</f>
        <v/>
      </c>
      <c r="I133" s="32"/>
      <c r="J133" s="32"/>
      <c r="K133" s="37"/>
      <c r="L133" s="38" t="str">
        <f aca="false">IF(C133="","",DATE(YEAR(C133),MONTH(C133),1))</f>
        <v/>
      </c>
      <c r="M133" s="34" t="str">
        <f aca="false">IF(F133="","",N(H133)+N(I133)-N(J133))</f>
        <v/>
      </c>
      <c r="N133" s="29"/>
    </row>
    <row r="134" customFormat="false" ht="15" hidden="false" customHeight="false" outlineLevel="0" collapsed="false">
      <c r="A134" s="29"/>
      <c r="B134" s="29"/>
      <c r="C134" s="31"/>
      <c r="D134" s="31"/>
      <c r="E134" s="35" t="str">
        <f aca="false">IF(OR(C134="",D134=""),"",MAX(1,D134-C134))</f>
        <v/>
      </c>
      <c r="F134" s="32"/>
      <c r="G134" s="36" t="str">
        <f aca="false">IF(B134="","",IFERROR(IF(N(INDEX(Fleet!$N$5:$N$79,MATCH(B134,Fleet!$A$5:$A$79,0)))&gt;0,INDEX(Fleet!$N$5:$N$79,MATCH(B134,Fleet!$A$5:$A$79,0)),Assumptions!$B$7),Assumptions!$B$7))</f>
        <v/>
      </c>
      <c r="H134" s="34" t="str">
        <f aca="false">IF(OR(F134="",G134=""),"",F134*G134)</f>
        <v/>
      </c>
      <c r="I134" s="32"/>
      <c r="J134" s="32"/>
      <c r="K134" s="37"/>
      <c r="L134" s="38" t="str">
        <f aca="false">IF(C134="","",DATE(YEAR(C134),MONTH(C134),1))</f>
        <v/>
      </c>
      <c r="M134" s="34" t="str">
        <f aca="false">IF(F134="","",N(H134)+N(I134)-N(J134))</f>
        <v/>
      </c>
      <c r="N134" s="29"/>
    </row>
    <row r="135" customFormat="false" ht="15" hidden="false" customHeight="false" outlineLevel="0" collapsed="false">
      <c r="A135" s="29"/>
      <c r="B135" s="29"/>
      <c r="C135" s="31"/>
      <c r="D135" s="31"/>
      <c r="E135" s="35" t="str">
        <f aca="false">IF(OR(C135="",D135=""),"",MAX(1,D135-C135))</f>
        <v/>
      </c>
      <c r="F135" s="32"/>
      <c r="G135" s="36" t="str">
        <f aca="false">IF(B135="","",IFERROR(IF(N(INDEX(Fleet!$N$5:$N$79,MATCH(B135,Fleet!$A$5:$A$79,0)))&gt;0,INDEX(Fleet!$N$5:$N$79,MATCH(B135,Fleet!$A$5:$A$79,0)),Assumptions!$B$7),Assumptions!$B$7))</f>
        <v/>
      </c>
      <c r="H135" s="34" t="str">
        <f aca="false">IF(OR(F135="",G135=""),"",F135*G135)</f>
        <v/>
      </c>
      <c r="I135" s="32"/>
      <c r="J135" s="32"/>
      <c r="K135" s="37"/>
      <c r="L135" s="38" t="str">
        <f aca="false">IF(C135="","",DATE(YEAR(C135),MONTH(C135),1))</f>
        <v/>
      </c>
      <c r="M135" s="34" t="str">
        <f aca="false">IF(F135="","",N(H135)+N(I135)-N(J135))</f>
        <v/>
      </c>
      <c r="N135" s="29"/>
    </row>
    <row r="136" customFormat="false" ht="15" hidden="false" customHeight="false" outlineLevel="0" collapsed="false">
      <c r="A136" s="29"/>
      <c r="B136" s="29"/>
      <c r="C136" s="31"/>
      <c r="D136" s="31"/>
      <c r="E136" s="35" t="str">
        <f aca="false">IF(OR(C136="",D136=""),"",MAX(1,D136-C136))</f>
        <v/>
      </c>
      <c r="F136" s="32"/>
      <c r="G136" s="36" t="str">
        <f aca="false">IF(B136="","",IFERROR(IF(N(INDEX(Fleet!$N$5:$N$79,MATCH(B136,Fleet!$A$5:$A$79,0)))&gt;0,INDEX(Fleet!$N$5:$N$79,MATCH(B136,Fleet!$A$5:$A$79,0)),Assumptions!$B$7),Assumptions!$B$7))</f>
        <v/>
      </c>
      <c r="H136" s="34" t="str">
        <f aca="false">IF(OR(F136="",G136=""),"",F136*G136)</f>
        <v/>
      </c>
      <c r="I136" s="32"/>
      <c r="J136" s="32"/>
      <c r="K136" s="37"/>
      <c r="L136" s="38" t="str">
        <f aca="false">IF(C136="","",DATE(YEAR(C136),MONTH(C136),1))</f>
        <v/>
      </c>
      <c r="M136" s="34" t="str">
        <f aca="false">IF(F136="","",N(H136)+N(I136)-N(J136))</f>
        <v/>
      </c>
      <c r="N136" s="29"/>
    </row>
    <row r="137" customFormat="false" ht="15" hidden="false" customHeight="false" outlineLevel="0" collapsed="false">
      <c r="A137" s="29"/>
      <c r="B137" s="29"/>
      <c r="C137" s="31"/>
      <c r="D137" s="31"/>
      <c r="E137" s="35" t="str">
        <f aca="false">IF(OR(C137="",D137=""),"",MAX(1,D137-C137))</f>
        <v/>
      </c>
      <c r="F137" s="32"/>
      <c r="G137" s="36" t="str">
        <f aca="false">IF(B137="","",IFERROR(IF(N(INDEX(Fleet!$N$5:$N$79,MATCH(B137,Fleet!$A$5:$A$79,0)))&gt;0,INDEX(Fleet!$N$5:$N$79,MATCH(B137,Fleet!$A$5:$A$79,0)),Assumptions!$B$7),Assumptions!$B$7))</f>
        <v/>
      </c>
      <c r="H137" s="34" t="str">
        <f aca="false">IF(OR(F137="",G137=""),"",F137*G137)</f>
        <v/>
      </c>
      <c r="I137" s="32"/>
      <c r="J137" s="32"/>
      <c r="K137" s="37"/>
      <c r="L137" s="38" t="str">
        <f aca="false">IF(C137="","",DATE(YEAR(C137),MONTH(C137),1))</f>
        <v/>
      </c>
      <c r="M137" s="34" t="str">
        <f aca="false">IF(F137="","",N(H137)+N(I137)-N(J137))</f>
        <v/>
      </c>
      <c r="N137" s="29"/>
    </row>
    <row r="138" customFormat="false" ht="15" hidden="false" customHeight="false" outlineLevel="0" collapsed="false">
      <c r="A138" s="29"/>
      <c r="B138" s="29"/>
      <c r="C138" s="31"/>
      <c r="D138" s="31"/>
      <c r="E138" s="35" t="str">
        <f aca="false">IF(OR(C138="",D138=""),"",MAX(1,D138-C138))</f>
        <v/>
      </c>
      <c r="F138" s="32"/>
      <c r="G138" s="36" t="str">
        <f aca="false">IF(B138="","",IFERROR(IF(N(INDEX(Fleet!$N$5:$N$79,MATCH(B138,Fleet!$A$5:$A$79,0)))&gt;0,INDEX(Fleet!$N$5:$N$79,MATCH(B138,Fleet!$A$5:$A$79,0)),Assumptions!$B$7),Assumptions!$B$7))</f>
        <v/>
      </c>
      <c r="H138" s="34" t="str">
        <f aca="false">IF(OR(F138="",G138=""),"",F138*G138)</f>
        <v/>
      </c>
      <c r="I138" s="32"/>
      <c r="J138" s="32"/>
      <c r="K138" s="37"/>
      <c r="L138" s="38" t="str">
        <f aca="false">IF(C138="","",DATE(YEAR(C138),MONTH(C138),1))</f>
        <v/>
      </c>
      <c r="M138" s="34" t="str">
        <f aca="false">IF(F138="","",N(H138)+N(I138)-N(J138))</f>
        <v/>
      </c>
      <c r="N138" s="29"/>
    </row>
    <row r="139" customFormat="false" ht="15" hidden="false" customHeight="false" outlineLevel="0" collapsed="false">
      <c r="A139" s="29"/>
      <c r="B139" s="29"/>
      <c r="C139" s="31"/>
      <c r="D139" s="31"/>
      <c r="E139" s="35" t="str">
        <f aca="false">IF(OR(C139="",D139=""),"",MAX(1,D139-C139))</f>
        <v/>
      </c>
      <c r="F139" s="32"/>
      <c r="G139" s="36" t="str">
        <f aca="false">IF(B139="","",IFERROR(IF(N(INDEX(Fleet!$N$5:$N$79,MATCH(B139,Fleet!$A$5:$A$79,0)))&gt;0,INDEX(Fleet!$N$5:$N$79,MATCH(B139,Fleet!$A$5:$A$79,0)),Assumptions!$B$7),Assumptions!$B$7))</f>
        <v/>
      </c>
      <c r="H139" s="34" t="str">
        <f aca="false">IF(OR(F139="",G139=""),"",F139*G139)</f>
        <v/>
      </c>
      <c r="I139" s="32"/>
      <c r="J139" s="32"/>
      <c r="K139" s="37"/>
      <c r="L139" s="38" t="str">
        <f aca="false">IF(C139="","",DATE(YEAR(C139),MONTH(C139),1))</f>
        <v/>
      </c>
      <c r="M139" s="34" t="str">
        <f aca="false">IF(F139="","",N(H139)+N(I139)-N(J139))</f>
        <v/>
      </c>
      <c r="N139" s="29"/>
    </row>
    <row r="140" customFormat="false" ht="15" hidden="false" customHeight="false" outlineLevel="0" collapsed="false">
      <c r="A140" s="29"/>
      <c r="B140" s="29"/>
      <c r="C140" s="31"/>
      <c r="D140" s="31"/>
      <c r="E140" s="35" t="str">
        <f aca="false">IF(OR(C140="",D140=""),"",MAX(1,D140-C140))</f>
        <v/>
      </c>
      <c r="F140" s="32"/>
      <c r="G140" s="36" t="str">
        <f aca="false">IF(B140="","",IFERROR(IF(N(INDEX(Fleet!$N$5:$N$79,MATCH(B140,Fleet!$A$5:$A$79,0)))&gt;0,INDEX(Fleet!$N$5:$N$79,MATCH(B140,Fleet!$A$5:$A$79,0)),Assumptions!$B$7),Assumptions!$B$7))</f>
        <v/>
      </c>
      <c r="H140" s="34" t="str">
        <f aca="false">IF(OR(F140="",G140=""),"",F140*G140)</f>
        <v/>
      </c>
      <c r="I140" s="32"/>
      <c r="J140" s="32"/>
      <c r="K140" s="37"/>
      <c r="L140" s="38" t="str">
        <f aca="false">IF(C140="","",DATE(YEAR(C140),MONTH(C140),1))</f>
        <v/>
      </c>
      <c r="M140" s="34" t="str">
        <f aca="false">IF(F140="","",N(H140)+N(I140)-N(J140))</f>
        <v/>
      </c>
      <c r="N140" s="29"/>
    </row>
    <row r="141" customFormat="false" ht="15" hidden="false" customHeight="false" outlineLevel="0" collapsed="false">
      <c r="A141" s="29"/>
      <c r="B141" s="29"/>
      <c r="C141" s="31"/>
      <c r="D141" s="31"/>
      <c r="E141" s="35" t="str">
        <f aca="false">IF(OR(C141="",D141=""),"",MAX(1,D141-C141))</f>
        <v/>
      </c>
      <c r="F141" s="32"/>
      <c r="G141" s="36" t="str">
        <f aca="false">IF(B141="","",IFERROR(IF(N(INDEX(Fleet!$N$5:$N$79,MATCH(B141,Fleet!$A$5:$A$79,0)))&gt;0,INDEX(Fleet!$N$5:$N$79,MATCH(B141,Fleet!$A$5:$A$79,0)),Assumptions!$B$7),Assumptions!$B$7))</f>
        <v/>
      </c>
      <c r="H141" s="34" t="str">
        <f aca="false">IF(OR(F141="",G141=""),"",F141*G141)</f>
        <v/>
      </c>
      <c r="I141" s="32"/>
      <c r="J141" s="32"/>
      <c r="K141" s="37"/>
      <c r="L141" s="38" t="str">
        <f aca="false">IF(C141="","",DATE(YEAR(C141),MONTH(C141),1))</f>
        <v/>
      </c>
      <c r="M141" s="34" t="str">
        <f aca="false">IF(F141="","",N(H141)+N(I141)-N(J141))</f>
        <v/>
      </c>
      <c r="N141" s="29"/>
    </row>
    <row r="142" customFormat="false" ht="15" hidden="false" customHeight="false" outlineLevel="0" collapsed="false">
      <c r="A142" s="29"/>
      <c r="B142" s="29"/>
      <c r="C142" s="31"/>
      <c r="D142" s="31"/>
      <c r="E142" s="35" t="str">
        <f aca="false">IF(OR(C142="",D142=""),"",MAX(1,D142-C142))</f>
        <v/>
      </c>
      <c r="F142" s="32"/>
      <c r="G142" s="36" t="str">
        <f aca="false">IF(B142="","",IFERROR(IF(N(INDEX(Fleet!$N$5:$N$79,MATCH(B142,Fleet!$A$5:$A$79,0)))&gt;0,INDEX(Fleet!$N$5:$N$79,MATCH(B142,Fleet!$A$5:$A$79,0)),Assumptions!$B$7),Assumptions!$B$7))</f>
        <v/>
      </c>
      <c r="H142" s="34" t="str">
        <f aca="false">IF(OR(F142="",G142=""),"",F142*G142)</f>
        <v/>
      </c>
      <c r="I142" s="32"/>
      <c r="J142" s="32"/>
      <c r="K142" s="37"/>
      <c r="L142" s="38" t="str">
        <f aca="false">IF(C142="","",DATE(YEAR(C142),MONTH(C142),1))</f>
        <v/>
      </c>
      <c r="M142" s="34" t="str">
        <f aca="false">IF(F142="","",N(H142)+N(I142)-N(J142))</f>
        <v/>
      </c>
      <c r="N142" s="29"/>
    </row>
    <row r="143" customFormat="false" ht="15" hidden="false" customHeight="false" outlineLevel="0" collapsed="false">
      <c r="A143" s="29"/>
      <c r="B143" s="29"/>
      <c r="C143" s="31"/>
      <c r="D143" s="31"/>
      <c r="E143" s="35" t="str">
        <f aca="false">IF(OR(C143="",D143=""),"",MAX(1,D143-C143))</f>
        <v/>
      </c>
      <c r="F143" s="32"/>
      <c r="G143" s="36" t="str">
        <f aca="false">IF(B143="","",IFERROR(IF(N(INDEX(Fleet!$N$5:$N$79,MATCH(B143,Fleet!$A$5:$A$79,0)))&gt;0,INDEX(Fleet!$N$5:$N$79,MATCH(B143,Fleet!$A$5:$A$79,0)),Assumptions!$B$7),Assumptions!$B$7))</f>
        <v/>
      </c>
      <c r="H143" s="34" t="str">
        <f aca="false">IF(OR(F143="",G143=""),"",F143*G143)</f>
        <v/>
      </c>
      <c r="I143" s="32"/>
      <c r="J143" s="32"/>
      <c r="K143" s="37"/>
      <c r="L143" s="38" t="str">
        <f aca="false">IF(C143="","",DATE(YEAR(C143),MONTH(C143),1))</f>
        <v/>
      </c>
      <c r="M143" s="34" t="str">
        <f aca="false">IF(F143="","",N(H143)+N(I143)-N(J143))</f>
        <v/>
      </c>
      <c r="N143" s="29"/>
    </row>
    <row r="144" customFormat="false" ht="15" hidden="false" customHeight="false" outlineLevel="0" collapsed="false">
      <c r="A144" s="29"/>
      <c r="B144" s="29"/>
      <c r="C144" s="31"/>
      <c r="D144" s="31"/>
      <c r="E144" s="35" t="str">
        <f aca="false">IF(OR(C144="",D144=""),"",MAX(1,D144-C144))</f>
        <v/>
      </c>
      <c r="F144" s="32"/>
      <c r="G144" s="36" t="str">
        <f aca="false">IF(B144="","",IFERROR(IF(N(INDEX(Fleet!$N$5:$N$79,MATCH(B144,Fleet!$A$5:$A$79,0)))&gt;0,INDEX(Fleet!$N$5:$N$79,MATCH(B144,Fleet!$A$5:$A$79,0)),Assumptions!$B$7),Assumptions!$B$7))</f>
        <v/>
      </c>
      <c r="H144" s="34" t="str">
        <f aca="false">IF(OR(F144="",G144=""),"",F144*G144)</f>
        <v/>
      </c>
      <c r="I144" s="32"/>
      <c r="J144" s="32"/>
      <c r="K144" s="37"/>
      <c r="L144" s="38" t="str">
        <f aca="false">IF(C144="","",DATE(YEAR(C144),MONTH(C144),1))</f>
        <v/>
      </c>
      <c r="M144" s="34" t="str">
        <f aca="false">IF(F144="","",N(H144)+N(I144)-N(J144))</f>
        <v/>
      </c>
      <c r="N144" s="29"/>
    </row>
    <row r="145" customFormat="false" ht="15" hidden="false" customHeight="false" outlineLevel="0" collapsed="false">
      <c r="A145" s="29"/>
      <c r="B145" s="29"/>
      <c r="C145" s="31"/>
      <c r="D145" s="31"/>
      <c r="E145" s="35" t="str">
        <f aca="false">IF(OR(C145="",D145=""),"",MAX(1,D145-C145))</f>
        <v/>
      </c>
      <c r="F145" s="32"/>
      <c r="G145" s="36" t="str">
        <f aca="false">IF(B145="","",IFERROR(IF(N(INDEX(Fleet!$N$5:$N$79,MATCH(B145,Fleet!$A$5:$A$79,0)))&gt;0,INDEX(Fleet!$N$5:$N$79,MATCH(B145,Fleet!$A$5:$A$79,0)),Assumptions!$B$7),Assumptions!$B$7))</f>
        <v/>
      </c>
      <c r="H145" s="34" t="str">
        <f aca="false">IF(OR(F145="",G145=""),"",F145*G145)</f>
        <v/>
      </c>
      <c r="I145" s="32"/>
      <c r="J145" s="32"/>
      <c r="K145" s="37"/>
      <c r="L145" s="38" t="str">
        <f aca="false">IF(C145="","",DATE(YEAR(C145),MONTH(C145),1))</f>
        <v/>
      </c>
      <c r="M145" s="34" t="str">
        <f aca="false">IF(F145="","",N(H145)+N(I145)-N(J145))</f>
        <v/>
      </c>
      <c r="N145" s="29"/>
    </row>
    <row r="146" customFormat="false" ht="15" hidden="false" customHeight="false" outlineLevel="0" collapsed="false">
      <c r="A146" s="29"/>
      <c r="B146" s="29"/>
      <c r="C146" s="31"/>
      <c r="D146" s="31"/>
      <c r="E146" s="35" t="str">
        <f aca="false">IF(OR(C146="",D146=""),"",MAX(1,D146-C146))</f>
        <v/>
      </c>
      <c r="F146" s="32"/>
      <c r="G146" s="36" t="str">
        <f aca="false">IF(B146="","",IFERROR(IF(N(INDEX(Fleet!$N$5:$N$79,MATCH(B146,Fleet!$A$5:$A$79,0)))&gt;0,INDEX(Fleet!$N$5:$N$79,MATCH(B146,Fleet!$A$5:$A$79,0)),Assumptions!$B$7),Assumptions!$B$7))</f>
        <v/>
      </c>
      <c r="H146" s="34" t="str">
        <f aca="false">IF(OR(F146="",G146=""),"",F146*G146)</f>
        <v/>
      </c>
      <c r="I146" s="32"/>
      <c r="J146" s="32"/>
      <c r="K146" s="37"/>
      <c r="L146" s="38" t="str">
        <f aca="false">IF(C146="","",DATE(YEAR(C146),MONTH(C146),1))</f>
        <v/>
      </c>
      <c r="M146" s="34" t="str">
        <f aca="false">IF(F146="","",N(H146)+N(I146)-N(J146))</f>
        <v/>
      </c>
      <c r="N146" s="29"/>
    </row>
    <row r="147" customFormat="false" ht="15" hidden="false" customHeight="false" outlineLevel="0" collapsed="false">
      <c r="A147" s="29"/>
      <c r="B147" s="29"/>
      <c r="C147" s="31"/>
      <c r="D147" s="31"/>
      <c r="E147" s="35" t="str">
        <f aca="false">IF(OR(C147="",D147=""),"",MAX(1,D147-C147))</f>
        <v/>
      </c>
      <c r="F147" s="32"/>
      <c r="G147" s="36" t="str">
        <f aca="false">IF(B147="","",IFERROR(IF(N(INDEX(Fleet!$N$5:$N$79,MATCH(B147,Fleet!$A$5:$A$79,0)))&gt;0,INDEX(Fleet!$N$5:$N$79,MATCH(B147,Fleet!$A$5:$A$79,0)),Assumptions!$B$7),Assumptions!$B$7))</f>
        <v/>
      </c>
      <c r="H147" s="34" t="str">
        <f aca="false">IF(OR(F147="",G147=""),"",F147*G147)</f>
        <v/>
      </c>
      <c r="I147" s="32"/>
      <c r="J147" s="32"/>
      <c r="K147" s="37"/>
      <c r="L147" s="38" t="str">
        <f aca="false">IF(C147="","",DATE(YEAR(C147),MONTH(C147),1))</f>
        <v/>
      </c>
      <c r="M147" s="34" t="str">
        <f aca="false">IF(F147="","",N(H147)+N(I147)-N(J147))</f>
        <v/>
      </c>
      <c r="N147" s="29"/>
    </row>
    <row r="148" customFormat="false" ht="15" hidden="false" customHeight="false" outlineLevel="0" collapsed="false">
      <c r="A148" s="29"/>
      <c r="B148" s="29"/>
      <c r="C148" s="31"/>
      <c r="D148" s="31"/>
      <c r="E148" s="35" t="str">
        <f aca="false">IF(OR(C148="",D148=""),"",MAX(1,D148-C148))</f>
        <v/>
      </c>
      <c r="F148" s="32"/>
      <c r="G148" s="36" t="str">
        <f aca="false">IF(B148="","",IFERROR(IF(N(INDEX(Fleet!$N$5:$N$79,MATCH(B148,Fleet!$A$5:$A$79,0)))&gt;0,INDEX(Fleet!$N$5:$N$79,MATCH(B148,Fleet!$A$5:$A$79,0)),Assumptions!$B$7),Assumptions!$B$7))</f>
        <v/>
      </c>
      <c r="H148" s="34" t="str">
        <f aca="false">IF(OR(F148="",G148=""),"",F148*G148)</f>
        <v/>
      </c>
      <c r="I148" s="32"/>
      <c r="J148" s="32"/>
      <c r="K148" s="37"/>
      <c r="L148" s="38" t="str">
        <f aca="false">IF(C148="","",DATE(YEAR(C148),MONTH(C148),1))</f>
        <v/>
      </c>
      <c r="M148" s="34" t="str">
        <f aca="false">IF(F148="","",N(H148)+N(I148)-N(J148))</f>
        <v/>
      </c>
      <c r="N148" s="29"/>
    </row>
    <row r="149" customFormat="false" ht="15" hidden="false" customHeight="false" outlineLevel="0" collapsed="false">
      <c r="A149" s="29"/>
      <c r="B149" s="29"/>
      <c r="C149" s="31"/>
      <c r="D149" s="31"/>
      <c r="E149" s="35" t="str">
        <f aca="false">IF(OR(C149="",D149=""),"",MAX(1,D149-C149))</f>
        <v/>
      </c>
      <c r="F149" s="32"/>
      <c r="G149" s="36" t="str">
        <f aca="false">IF(B149="","",IFERROR(IF(N(INDEX(Fleet!$N$5:$N$79,MATCH(B149,Fleet!$A$5:$A$79,0)))&gt;0,INDEX(Fleet!$N$5:$N$79,MATCH(B149,Fleet!$A$5:$A$79,0)),Assumptions!$B$7),Assumptions!$B$7))</f>
        <v/>
      </c>
      <c r="H149" s="34" t="str">
        <f aca="false">IF(OR(F149="",G149=""),"",F149*G149)</f>
        <v/>
      </c>
      <c r="I149" s="32"/>
      <c r="J149" s="32"/>
      <c r="K149" s="37"/>
      <c r="L149" s="38" t="str">
        <f aca="false">IF(C149="","",DATE(YEAR(C149),MONTH(C149),1))</f>
        <v/>
      </c>
      <c r="M149" s="34" t="str">
        <f aca="false">IF(F149="","",N(H149)+N(I149)-N(J149))</f>
        <v/>
      </c>
      <c r="N149" s="29"/>
    </row>
    <row r="150" customFormat="false" ht="15" hidden="false" customHeight="false" outlineLevel="0" collapsed="false">
      <c r="A150" s="29"/>
      <c r="B150" s="29"/>
      <c r="C150" s="31"/>
      <c r="D150" s="31"/>
      <c r="E150" s="35" t="str">
        <f aca="false">IF(OR(C150="",D150=""),"",MAX(1,D150-C150))</f>
        <v/>
      </c>
      <c r="F150" s="32"/>
      <c r="G150" s="36" t="str">
        <f aca="false">IF(B150="","",IFERROR(IF(N(INDEX(Fleet!$N$5:$N$79,MATCH(B150,Fleet!$A$5:$A$79,0)))&gt;0,INDEX(Fleet!$N$5:$N$79,MATCH(B150,Fleet!$A$5:$A$79,0)),Assumptions!$B$7),Assumptions!$B$7))</f>
        <v/>
      </c>
      <c r="H150" s="34" t="str">
        <f aca="false">IF(OR(F150="",G150=""),"",F150*G150)</f>
        <v/>
      </c>
      <c r="I150" s="32"/>
      <c r="J150" s="32"/>
      <c r="K150" s="37"/>
      <c r="L150" s="38" t="str">
        <f aca="false">IF(C150="","",DATE(YEAR(C150),MONTH(C150),1))</f>
        <v/>
      </c>
      <c r="M150" s="34" t="str">
        <f aca="false">IF(F150="","",N(H150)+N(I150)-N(J150))</f>
        <v/>
      </c>
      <c r="N150" s="29"/>
    </row>
    <row r="151" customFormat="false" ht="15" hidden="false" customHeight="false" outlineLevel="0" collapsed="false">
      <c r="A151" s="29"/>
      <c r="B151" s="29"/>
      <c r="C151" s="31"/>
      <c r="D151" s="31"/>
      <c r="E151" s="35" t="str">
        <f aca="false">IF(OR(C151="",D151=""),"",MAX(1,D151-C151))</f>
        <v/>
      </c>
      <c r="F151" s="32"/>
      <c r="G151" s="36" t="str">
        <f aca="false">IF(B151="","",IFERROR(IF(N(INDEX(Fleet!$N$5:$N$79,MATCH(B151,Fleet!$A$5:$A$79,0)))&gt;0,INDEX(Fleet!$N$5:$N$79,MATCH(B151,Fleet!$A$5:$A$79,0)),Assumptions!$B$7),Assumptions!$B$7))</f>
        <v/>
      </c>
      <c r="H151" s="34" t="str">
        <f aca="false">IF(OR(F151="",G151=""),"",F151*G151)</f>
        <v/>
      </c>
      <c r="I151" s="32"/>
      <c r="J151" s="32"/>
      <c r="K151" s="37"/>
      <c r="L151" s="38" t="str">
        <f aca="false">IF(C151="","",DATE(YEAR(C151),MONTH(C151),1))</f>
        <v/>
      </c>
      <c r="M151" s="34" t="str">
        <f aca="false">IF(F151="","",N(H151)+N(I151)-N(J151))</f>
        <v/>
      </c>
      <c r="N151" s="29"/>
    </row>
    <row r="152" customFormat="false" ht="15" hidden="false" customHeight="false" outlineLevel="0" collapsed="false">
      <c r="A152" s="29"/>
      <c r="B152" s="29"/>
      <c r="C152" s="31"/>
      <c r="D152" s="31"/>
      <c r="E152" s="35" t="str">
        <f aca="false">IF(OR(C152="",D152=""),"",MAX(1,D152-C152))</f>
        <v/>
      </c>
      <c r="F152" s="32"/>
      <c r="G152" s="36" t="str">
        <f aca="false">IF(B152="","",IFERROR(IF(N(INDEX(Fleet!$N$5:$N$79,MATCH(B152,Fleet!$A$5:$A$79,0)))&gt;0,INDEX(Fleet!$N$5:$N$79,MATCH(B152,Fleet!$A$5:$A$79,0)),Assumptions!$B$7),Assumptions!$B$7))</f>
        <v/>
      </c>
      <c r="H152" s="34" t="str">
        <f aca="false">IF(OR(F152="",G152=""),"",F152*G152)</f>
        <v/>
      </c>
      <c r="I152" s="32"/>
      <c r="J152" s="32"/>
      <c r="K152" s="37"/>
      <c r="L152" s="38" t="str">
        <f aca="false">IF(C152="","",DATE(YEAR(C152),MONTH(C152),1))</f>
        <v/>
      </c>
      <c r="M152" s="34" t="str">
        <f aca="false">IF(F152="","",N(H152)+N(I152)-N(J152))</f>
        <v/>
      </c>
      <c r="N152" s="29"/>
    </row>
    <row r="153" customFormat="false" ht="15" hidden="false" customHeight="false" outlineLevel="0" collapsed="false">
      <c r="A153" s="29"/>
      <c r="B153" s="29"/>
      <c r="C153" s="31"/>
      <c r="D153" s="31"/>
      <c r="E153" s="35" t="str">
        <f aca="false">IF(OR(C153="",D153=""),"",MAX(1,D153-C153))</f>
        <v/>
      </c>
      <c r="F153" s="32"/>
      <c r="G153" s="36" t="str">
        <f aca="false">IF(B153="","",IFERROR(IF(N(INDEX(Fleet!$N$5:$N$79,MATCH(B153,Fleet!$A$5:$A$79,0)))&gt;0,INDEX(Fleet!$N$5:$N$79,MATCH(B153,Fleet!$A$5:$A$79,0)),Assumptions!$B$7),Assumptions!$B$7))</f>
        <v/>
      </c>
      <c r="H153" s="34" t="str">
        <f aca="false">IF(OR(F153="",G153=""),"",F153*G153)</f>
        <v/>
      </c>
      <c r="I153" s="32"/>
      <c r="J153" s="32"/>
      <c r="K153" s="37"/>
      <c r="L153" s="38" t="str">
        <f aca="false">IF(C153="","",DATE(YEAR(C153),MONTH(C153),1))</f>
        <v/>
      </c>
      <c r="M153" s="34" t="str">
        <f aca="false">IF(F153="","",N(H153)+N(I153)-N(J153))</f>
        <v/>
      </c>
      <c r="N153" s="29"/>
    </row>
    <row r="154" customFormat="false" ht="15" hidden="false" customHeight="false" outlineLevel="0" collapsed="false">
      <c r="A154" s="29"/>
      <c r="B154" s="29"/>
      <c r="C154" s="31"/>
      <c r="D154" s="31"/>
      <c r="E154" s="35" t="str">
        <f aca="false">IF(OR(C154="",D154=""),"",MAX(1,D154-C154))</f>
        <v/>
      </c>
      <c r="F154" s="32"/>
      <c r="G154" s="36" t="str">
        <f aca="false">IF(B154="","",IFERROR(IF(N(INDEX(Fleet!$N$5:$N$79,MATCH(B154,Fleet!$A$5:$A$79,0)))&gt;0,INDEX(Fleet!$N$5:$N$79,MATCH(B154,Fleet!$A$5:$A$79,0)),Assumptions!$B$7),Assumptions!$B$7))</f>
        <v/>
      </c>
      <c r="H154" s="34" t="str">
        <f aca="false">IF(OR(F154="",G154=""),"",F154*G154)</f>
        <v/>
      </c>
      <c r="I154" s="32"/>
      <c r="J154" s="32"/>
      <c r="K154" s="37"/>
      <c r="L154" s="38" t="str">
        <f aca="false">IF(C154="","",DATE(YEAR(C154),MONTH(C154),1))</f>
        <v/>
      </c>
      <c r="M154" s="34" t="str">
        <f aca="false">IF(F154="","",N(H154)+N(I154)-N(J154))</f>
        <v/>
      </c>
      <c r="N154" s="29"/>
    </row>
    <row r="155" customFormat="false" ht="15" hidden="false" customHeight="false" outlineLevel="0" collapsed="false">
      <c r="A155" s="29"/>
      <c r="B155" s="29"/>
      <c r="C155" s="31"/>
      <c r="D155" s="31"/>
      <c r="E155" s="35" t="str">
        <f aca="false">IF(OR(C155="",D155=""),"",MAX(1,D155-C155))</f>
        <v/>
      </c>
      <c r="F155" s="32"/>
      <c r="G155" s="36" t="str">
        <f aca="false">IF(B155="","",IFERROR(IF(N(INDEX(Fleet!$N$5:$N$79,MATCH(B155,Fleet!$A$5:$A$79,0)))&gt;0,INDEX(Fleet!$N$5:$N$79,MATCH(B155,Fleet!$A$5:$A$79,0)),Assumptions!$B$7),Assumptions!$B$7))</f>
        <v/>
      </c>
      <c r="H155" s="34" t="str">
        <f aca="false">IF(OR(F155="",G155=""),"",F155*G155)</f>
        <v/>
      </c>
      <c r="I155" s="32"/>
      <c r="J155" s="32"/>
      <c r="K155" s="37"/>
      <c r="L155" s="38" t="str">
        <f aca="false">IF(C155="","",DATE(YEAR(C155),MONTH(C155),1))</f>
        <v/>
      </c>
      <c r="M155" s="34" t="str">
        <f aca="false">IF(F155="","",N(H155)+N(I155)-N(J155))</f>
        <v/>
      </c>
      <c r="N155" s="29"/>
    </row>
    <row r="156" customFormat="false" ht="15" hidden="false" customHeight="false" outlineLevel="0" collapsed="false">
      <c r="A156" s="29"/>
      <c r="B156" s="29"/>
      <c r="C156" s="31"/>
      <c r="D156" s="31"/>
      <c r="E156" s="35" t="str">
        <f aca="false">IF(OR(C156="",D156=""),"",MAX(1,D156-C156))</f>
        <v/>
      </c>
      <c r="F156" s="32"/>
      <c r="G156" s="36" t="str">
        <f aca="false">IF(B156="","",IFERROR(IF(N(INDEX(Fleet!$N$5:$N$79,MATCH(B156,Fleet!$A$5:$A$79,0)))&gt;0,INDEX(Fleet!$N$5:$N$79,MATCH(B156,Fleet!$A$5:$A$79,0)),Assumptions!$B$7),Assumptions!$B$7))</f>
        <v/>
      </c>
      <c r="H156" s="34" t="str">
        <f aca="false">IF(OR(F156="",G156=""),"",F156*G156)</f>
        <v/>
      </c>
      <c r="I156" s="32"/>
      <c r="J156" s="32"/>
      <c r="K156" s="37"/>
      <c r="L156" s="38" t="str">
        <f aca="false">IF(C156="","",DATE(YEAR(C156),MONTH(C156),1))</f>
        <v/>
      </c>
      <c r="M156" s="34" t="str">
        <f aca="false">IF(F156="","",N(H156)+N(I156)-N(J156))</f>
        <v/>
      </c>
      <c r="N156" s="29"/>
    </row>
    <row r="157" customFormat="false" ht="15" hidden="false" customHeight="false" outlineLevel="0" collapsed="false">
      <c r="A157" s="29"/>
      <c r="B157" s="29"/>
      <c r="C157" s="31"/>
      <c r="D157" s="31"/>
      <c r="E157" s="35" t="str">
        <f aca="false">IF(OR(C157="",D157=""),"",MAX(1,D157-C157))</f>
        <v/>
      </c>
      <c r="F157" s="32"/>
      <c r="G157" s="36" t="str">
        <f aca="false">IF(B157="","",IFERROR(IF(N(INDEX(Fleet!$N$5:$N$79,MATCH(B157,Fleet!$A$5:$A$79,0)))&gt;0,INDEX(Fleet!$N$5:$N$79,MATCH(B157,Fleet!$A$5:$A$79,0)),Assumptions!$B$7),Assumptions!$B$7))</f>
        <v/>
      </c>
      <c r="H157" s="34" t="str">
        <f aca="false">IF(OR(F157="",G157=""),"",F157*G157)</f>
        <v/>
      </c>
      <c r="I157" s="32"/>
      <c r="J157" s="32"/>
      <c r="K157" s="37"/>
      <c r="L157" s="38" t="str">
        <f aca="false">IF(C157="","",DATE(YEAR(C157),MONTH(C157),1))</f>
        <v/>
      </c>
      <c r="M157" s="34" t="str">
        <f aca="false">IF(F157="","",N(H157)+N(I157)-N(J157))</f>
        <v/>
      </c>
      <c r="N157" s="29"/>
    </row>
    <row r="158" customFormat="false" ht="15" hidden="false" customHeight="false" outlineLevel="0" collapsed="false">
      <c r="A158" s="29"/>
      <c r="B158" s="29"/>
      <c r="C158" s="31"/>
      <c r="D158" s="31"/>
      <c r="E158" s="35" t="str">
        <f aca="false">IF(OR(C158="",D158=""),"",MAX(1,D158-C158))</f>
        <v/>
      </c>
      <c r="F158" s="32"/>
      <c r="G158" s="36" t="str">
        <f aca="false">IF(B158="","",IFERROR(IF(N(INDEX(Fleet!$N$5:$N$79,MATCH(B158,Fleet!$A$5:$A$79,0)))&gt;0,INDEX(Fleet!$N$5:$N$79,MATCH(B158,Fleet!$A$5:$A$79,0)),Assumptions!$B$7),Assumptions!$B$7))</f>
        <v/>
      </c>
      <c r="H158" s="34" t="str">
        <f aca="false">IF(OR(F158="",G158=""),"",F158*G158)</f>
        <v/>
      </c>
      <c r="I158" s="32"/>
      <c r="J158" s="32"/>
      <c r="K158" s="37"/>
      <c r="L158" s="38" t="str">
        <f aca="false">IF(C158="","",DATE(YEAR(C158),MONTH(C158),1))</f>
        <v/>
      </c>
      <c r="M158" s="34" t="str">
        <f aca="false">IF(F158="","",N(H158)+N(I158)-N(J158))</f>
        <v/>
      </c>
      <c r="N158" s="29"/>
    </row>
    <row r="159" customFormat="false" ht="15" hidden="false" customHeight="false" outlineLevel="0" collapsed="false">
      <c r="A159" s="29"/>
      <c r="B159" s="29"/>
      <c r="C159" s="31"/>
      <c r="D159" s="31"/>
      <c r="E159" s="35" t="str">
        <f aca="false">IF(OR(C159="",D159=""),"",MAX(1,D159-C159))</f>
        <v/>
      </c>
      <c r="F159" s="32"/>
      <c r="G159" s="36" t="str">
        <f aca="false">IF(B159="","",IFERROR(IF(N(INDEX(Fleet!$N$5:$N$79,MATCH(B159,Fleet!$A$5:$A$79,0)))&gt;0,INDEX(Fleet!$N$5:$N$79,MATCH(B159,Fleet!$A$5:$A$79,0)),Assumptions!$B$7),Assumptions!$B$7))</f>
        <v/>
      </c>
      <c r="H159" s="34" t="str">
        <f aca="false">IF(OR(F159="",G159=""),"",F159*G159)</f>
        <v/>
      </c>
      <c r="I159" s="32"/>
      <c r="J159" s="32"/>
      <c r="K159" s="37"/>
      <c r="L159" s="38" t="str">
        <f aca="false">IF(C159="","",DATE(YEAR(C159),MONTH(C159),1))</f>
        <v/>
      </c>
      <c r="M159" s="34" t="str">
        <f aca="false">IF(F159="","",N(H159)+N(I159)-N(J159))</f>
        <v/>
      </c>
      <c r="N159" s="29"/>
    </row>
    <row r="160" customFormat="false" ht="15" hidden="false" customHeight="false" outlineLevel="0" collapsed="false">
      <c r="A160" s="29"/>
      <c r="B160" s="29"/>
      <c r="C160" s="31"/>
      <c r="D160" s="31"/>
      <c r="E160" s="35" t="str">
        <f aca="false">IF(OR(C160="",D160=""),"",MAX(1,D160-C160))</f>
        <v/>
      </c>
      <c r="F160" s="32"/>
      <c r="G160" s="36" t="str">
        <f aca="false">IF(B160="","",IFERROR(IF(N(INDEX(Fleet!$N$5:$N$79,MATCH(B160,Fleet!$A$5:$A$79,0)))&gt;0,INDEX(Fleet!$N$5:$N$79,MATCH(B160,Fleet!$A$5:$A$79,0)),Assumptions!$B$7),Assumptions!$B$7))</f>
        <v/>
      </c>
      <c r="H160" s="34" t="str">
        <f aca="false">IF(OR(F160="",G160=""),"",F160*G160)</f>
        <v/>
      </c>
      <c r="I160" s="32"/>
      <c r="J160" s="32"/>
      <c r="K160" s="37"/>
      <c r="L160" s="38" t="str">
        <f aca="false">IF(C160="","",DATE(YEAR(C160),MONTH(C160),1))</f>
        <v/>
      </c>
      <c r="M160" s="34" t="str">
        <f aca="false">IF(F160="","",N(H160)+N(I160)-N(J160))</f>
        <v/>
      </c>
      <c r="N160" s="29"/>
    </row>
    <row r="161" customFormat="false" ht="15" hidden="false" customHeight="false" outlineLevel="0" collapsed="false">
      <c r="A161" s="29"/>
      <c r="B161" s="29"/>
      <c r="C161" s="31"/>
      <c r="D161" s="31"/>
      <c r="E161" s="35" t="str">
        <f aca="false">IF(OR(C161="",D161=""),"",MAX(1,D161-C161))</f>
        <v/>
      </c>
      <c r="F161" s="32"/>
      <c r="G161" s="36" t="str">
        <f aca="false">IF(B161="","",IFERROR(IF(N(INDEX(Fleet!$N$5:$N$79,MATCH(B161,Fleet!$A$5:$A$79,0)))&gt;0,INDEX(Fleet!$N$5:$N$79,MATCH(B161,Fleet!$A$5:$A$79,0)),Assumptions!$B$7),Assumptions!$B$7))</f>
        <v/>
      </c>
      <c r="H161" s="34" t="str">
        <f aca="false">IF(OR(F161="",G161=""),"",F161*G161)</f>
        <v/>
      </c>
      <c r="I161" s="32"/>
      <c r="J161" s="32"/>
      <c r="K161" s="37"/>
      <c r="L161" s="38" t="str">
        <f aca="false">IF(C161="","",DATE(YEAR(C161),MONTH(C161),1))</f>
        <v/>
      </c>
      <c r="M161" s="34" t="str">
        <f aca="false">IF(F161="","",N(H161)+N(I161)-N(J161))</f>
        <v/>
      </c>
      <c r="N161" s="29"/>
    </row>
    <row r="162" customFormat="false" ht="15" hidden="false" customHeight="false" outlineLevel="0" collapsed="false">
      <c r="A162" s="29"/>
      <c r="B162" s="29"/>
      <c r="C162" s="31"/>
      <c r="D162" s="31"/>
      <c r="E162" s="35" t="str">
        <f aca="false">IF(OR(C162="",D162=""),"",MAX(1,D162-C162))</f>
        <v/>
      </c>
      <c r="F162" s="32"/>
      <c r="G162" s="36" t="str">
        <f aca="false">IF(B162="","",IFERROR(IF(N(INDEX(Fleet!$N$5:$N$79,MATCH(B162,Fleet!$A$5:$A$79,0)))&gt;0,INDEX(Fleet!$N$5:$N$79,MATCH(B162,Fleet!$A$5:$A$79,0)),Assumptions!$B$7),Assumptions!$B$7))</f>
        <v/>
      </c>
      <c r="H162" s="34" t="str">
        <f aca="false">IF(OR(F162="",G162=""),"",F162*G162)</f>
        <v/>
      </c>
      <c r="I162" s="32"/>
      <c r="J162" s="32"/>
      <c r="K162" s="37"/>
      <c r="L162" s="38" t="str">
        <f aca="false">IF(C162="","",DATE(YEAR(C162),MONTH(C162),1))</f>
        <v/>
      </c>
      <c r="M162" s="34" t="str">
        <f aca="false">IF(F162="","",N(H162)+N(I162)-N(J162))</f>
        <v/>
      </c>
      <c r="N162" s="29"/>
    </row>
    <row r="163" customFormat="false" ht="15" hidden="false" customHeight="false" outlineLevel="0" collapsed="false">
      <c r="A163" s="29"/>
      <c r="B163" s="29"/>
      <c r="C163" s="31"/>
      <c r="D163" s="31"/>
      <c r="E163" s="35" t="str">
        <f aca="false">IF(OR(C163="",D163=""),"",MAX(1,D163-C163))</f>
        <v/>
      </c>
      <c r="F163" s="32"/>
      <c r="G163" s="36" t="str">
        <f aca="false">IF(B163="","",IFERROR(IF(N(INDEX(Fleet!$N$5:$N$79,MATCH(B163,Fleet!$A$5:$A$79,0)))&gt;0,INDEX(Fleet!$N$5:$N$79,MATCH(B163,Fleet!$A$5:$A$79,0)),Assumptions!$B$7),Assumptions!$B$7))</f>
        <v/>
      </c>
      <c r="H163" s="34" t="str">
        <f aca="false">IF(OR(F163="",G163=""),"",F163*G163)</f>
        <v/>
      </c>
      <c r="I163" s="32"/>
      <c r="J163" s="32"/>
      <c r="K163" s="37"/>
      <c r="L163" s="38" t="str">
        <f aca="false">IF(C163="","",DATE(YEAR(C163),MONTH(C163),1))</f>
        <v/>
      </c>
      <c r="M163" s="34" t="str">
        <f aca="false">IF(F163="","",N(H163)+N(I163)-N(J163))</f>
        <v/>
      </c>
      <c r="N163" s="29"/>
    </row>
    <row r="164" customFormat="false" ht="15" hidden="false" customHeight="false" outlineLevel="0" collapsed="false">
      <c r="A164" s="29"/>
      <c r="B164" s="29"/>
      <c r="C164" s="31"/>
      <c r="D164" s="31"/>
      <c r="E164" s="35" t="str">
        <f aca="false">IF(OR(C164="",D164=""),"",MAX(1,D164-C164))</f>
        <v/>
      </c>
      <c r="F164" s="32"/>
      <c r="G164" s="36" t="str">
        <f aca="false">IF(B164="","",IFERROR(IF(N(INDEX(Fleet!$N$5:$N$79,MATCH(B164,Fleet!$A$5:$A$79,0)))&gt;0,INDEX(Fleet!$N$5:$N$79,MATCH(B164,Fleet!$A$5:$A$79,0)),Assumptions!$B$7),Assumptions!$B$7))</f>
        <v/>
      </c>
      <c r="H164" s="34" t="str">
        <f aca="false">IF(OR(F164="",G164=""),"",F164*G164)</f>
        <v/>
      </c>
      <c r="I164" s="32"/>
      <c r="J164" s="32"/>
      <c r="K164" s="37"/>
      <c r="L164" s="38" t="str">
        <f aca="false">IF(C164="","",DATE(YEAR(C164),MONTH(C164),1))</f>
        <v/>
      </c>
      <c r="M164" s="34" t="str">
        <f aca="false">IF(F164="","",N(H164)+N(I164)-N(J164))</f>
        <v/>
      </c>
      <c r="N164" s="29"/>
    </row>
    <row r="165" customFormat="false" ht="15" hidden="false" customHeight="false" outlineLevel="0" collapsed="false">
      <c r="A165" s="29"/>
      <c r="B165" s="29"/>
      <c r="C165" s="31"/>
      <c r="D165" s="31"/>
      <c r="E165" s="35" t="str">
        <f aca="false">IF(OR(C165="",D165=""),"",MAX(1,D165-C165))</f>
        <v/>
      </c>
      <c r="F165" s="32"/>
      <c r="G165" s="36" t="str">
        <f aca="false">IF(B165="","",IFERROR(IF(N(INDEX(Fleet!$N$5:$N$79,MATCH(B165,Fleet!$A$5:$A$79,0)))&gt;0,INDEX(Fleet!$N$5:$N$79,MATCH(B165,Fleet!$A$5:$A$79,0)),Assumptions!$B$7),Assumptions!$B$7))</f>
        <v/>
      </c>
      <c r="H165" s="34" t="str">
        <f aca="false">IF(OR(F165="",G165=""),"",F165*G165)</f>
        <v/>
      </c>
      <c r="I165" s="32"/>
      <c r="J165" s="32"/>
      <c r="K165" s="37"/>
      <c r="L165" s="38" t="str">
        <f aca="false">IF(C165="","",DATE(YEAR(C165),MONTH(C165),1))</f>
        <v/>
      </c>
      <c r="M165" s="34" t="str">
        <f aca="false">IF(F165="","",N(H165)+N(I165)-N(J165))</f>
        <v/>
      </c>
      <c r="N165" s="29"/>
    </row>
    <row r="166" customFormat="false" ht="15" hidden="false" customHeight="false" outlineLevel="0" collapsed="false">
      <c r="A166" s="29"/>
      <c r="B166" s="29"/>
      <c r="C166" s="31"/>
      <c r="D166" s="31"/>
      <c r="E166" s="35" t="str">
        <f aca="false">IF(OR(C166="",D166=""),"",MAX(1,D166-C166))</f>
        <v/>
      </c>
      <c r="F166" s="32"/>
      <c r="G166" s="36" t="str">
        <f aca="false">IF(B166="","",IFERROR(IF(N(INDEX(Fleet!$N$5:$N$79,MATCH(B166,Fleet!$A$5:$A$79,0)))&gt;0,INDEX(Fleet!$N$5:$N$79,MATCH(B166,Fleet!$A$5:$A$79,0)),Assumptions!$B$7),Assumptions!$B$7))</f>
        <v/>
      </c>
      <c r="H166" s="34" t="str">
        <f aca="false">IF(OR(F166="",G166=""),"",F166*G166)</f>
        <v/>
      </c>
      <c r="I166" s="32"/>
      <c r="J166" s="32"/>
      <c r="K166" s="37"/>
      <c r="L166" s="38" t="str">
        <f aca="false">IF(C166="","",DATE(YEAR(C166),MONTH(C166),1))</f>
        <v/>
      </c>
      <c r="M166" s="34" t="str">
        <f aca="false">IF(F166="","",N(H166)+N(I166)-N(J166))</f>
        <v/>
      </c>
      <c r="N166" s="29"/>
    </row>
    <row r="167" customFormat="false" ht="15" hidden="false" customHeight="false" outlineLevel="0" collapsed="false">
      <c r="A167" s="29"/>
      <c r="B167" s="29"/>
      <c r="C167" s="31"/>
      <c r="D167" s="31"/>
      <c r="E167" s="35" t="str">
        <f aca="false">IF(OR(C167="",D167=""),"",MAX(1,D167-C167))</f>
        <v/>
      </c>
      <c r="F167" s="32"/>
      <c r="G167" s="36" t="str">
        <f aca="false">IF(B167="","",IFERROR(IF(N(INDEX(Fleet!$N$5:$N$79,MATCH(B167,Fleet!$A$5:$A$79,0)))&gt;0,INDEX(Fleet!$N$5:$N$79,MATCH(B167,Fleet!$A$5:$A$79,0)),Assumptions!$B$7),Assumptions!$B$7))</f>
        <v/>
      </c>
      <c r="H167" s="34" t="str">
        <f aca="false">IF(OR(F167="",G167=""),"",F167*G167)</f>
        <v/>
      </c>
      <c r="I167" s="32"/>
      <c r="J167" s="32"/>
      <c r="K167" s="37"/>
      <c r="L167" s="38" t="str">
        <f aca="false">IF(C167="","",DATE(YEAR(C167),MONTH(C167),1))</f>
        <v/>
      </c>
      <c r="M167" s="34" t="str">
        <f aca="false">IF(F167="","",N(H167)+N(I167)-N(J167))</f>
        <v/>
      </c>
      <c r="N167" s="29"/>
    </row>
    <row r="168" customFormat="false" ht="15" hidden="false" customHeight="false" outlineLevel="0" collapsed="false">
      <c r="A168" s="29"/>
      <c r="B168" s="29"/>
      <c r="C168" s="31"/>
      <c r="D168" s="31"/>
      <c r="E168" s="35" t="str">
        <f aca="false">IF(OR(C168="",D168=""),"",MAX(1,D168-C168))</f>
        <v/>
      </c>
      <c r="F168" s="32"/>
      <c r="G168" s="36" t="str">
        <f aca="false">IF(B168="","",IFERROR(IF(N(INDEX(Fleet!$N$5:$N$79,MATCH(B168,Fleet!$A$5:$A$79,0)))&gt;0,INDEX(Fleet!$N$5:$N$79,MATCH(B168,Fleet!$A$5:$A$79,0)),Assumptions!$B$7),Assumptions!$B$7))</f>
        <v/>
      </c>
      <c r="H168" s="34" t="str">
        <f aca="false">IF(OR(F168="",G168=""),"",F168*G168)</f>
        <v/>
      </c>
      <c r="I168" s="32"/>
      <c r="J168" s="32"/>
      <c r="K168" s="37"/>
      <c r="L168" s="38" t="str">
        <f aca="false">IF(C168="","",DATE(YEAR(C168),MONTH(C168),1))</f>
        <v/>
      </c>
      <c r="M168" s="34" t="str">
        <f aca="false">IF(F168="","",N(H168)+N(I168)-N(J168))</f>
        <v/>
      </c>
      <c r="N168" s="29"/>
    </row>
    <row r="169" customFormat="false" ht="15" hidden="false" customHeight="false" outlineLevel="0" collapsed="false">
      <c r="A169" s="29"/>
      <c r="B169" s="29"/>
      <c r="C169" s="31"/>
      <c r="D169" s="31"/>
      <c r="E169" s="35" t="str">
        <f aca="false">IF(OR(C169="",D169=""),"",MAX(1,D169-C169))</f>
        <v/>
      </c>
      <c r="F169" s="32"/>
      <c r="G169" s="36" t="str">
        <f aca="false">IF(B169="","",IFERROR(IF(N(INDEX(Fleet!$N$5:$N$79,MATCH(B169,Fleet!$A$5:$A$79,0)))&gt;0,INDEX(Fleet!$N$5:$N$79,MATCH(B169,Fleet!$A$5:$A$79,0)),Assumptions!$B$7),Assumptions!$B$7))</f>
        <v/>
      </c>
      <c r="H169" s="34" t="str">
        <f aca="false">IF(OR(F169="",G169=""),"",F169*G169)</f>
        <v/>
      </c>
      <c r="I169" s="32"/>
      <c r="J169" s="32"/>
      <c r="K169" s="37"/>
      <c r="L169" s="38" t="str">
        <f aca="false">IF(C169="","",DATE(YEAR(C169),MONTH(C169),1))</f>
        <v/>
      </c>
      <c r="M169" s="34" t="str">
        <f aca="false">IF(F169="","",N(H169)+N(I169)-N(J169))</f>
        <v/>
      </c>
      <c r="N169" s="29"/>
    </row>
    <row r="170" customFormat="false" ht="15" hidden="false" customHeight="false" outlineLevel="0" collapsed="false">
      <c r="A170" s="29"/>
      <c r="B170" s="29"/>
      <c r="C170" s="31"/>
      <c r="D170" s="31"/>
      <c r="E170" s="35" t="str">
        <f aca="false">IF(OR(C170="",D170=""),"",MAX(1,D170-C170))</f>
        <v/>
      </c>
      <c r="F170" s="32"/>
      <c r="G170" s="36" t="str">
        <f aca="false">IF(B170="","",IFERROR(IF(N(INDEX(Fleet!$N$5:$N$79,MATCH(B170,Fleet!$A$5:$A$79,0)))&gt;0,INDEX(Fleet!$N$5:$N$79,MATCH(B170,Fleet!$A$5:$A$79,0)),Assumptions!$B$7),Assumptions!$B$7))</f>
        <v/>
      </c>
      <c r="H170" s="34" t="str">
        <f aca="false">IF(OR(F170="",G170=""),"",F170*G170)</f>
        <v/>
      </c>
      <c r="I170" s="32"/>
      <c r="J170" s="32"/>
      <c r="K170" s="37"/>
      <c r="L170" s="38" t="str">
        <f aca="false">IF(C170="","",DATE(YEAR(C170),MONTH(C170),1))</f>
        <v/>
      </c>
      <c r="M170" s="34" t="str">
        <f aca="false">IF(F170="","",N(H170)+N(I170)-N(J170))</f>
        <v/>
      </c>
      <c r="N170" s="29"/>
    </row>
    <row r="171" customFormat="false" ht="15" hidden="false" customHeight="false" outlineLevel="0" collapsed="false">
      <c r="A171" s="29"/>
      <c r="B171" s="29"/>
      <c r="C171" s="31"/>
      <c r="D171" s="31"/>
      <c r="E171" s="35" t="str">
        <f aca="false">IF(OR(C171="",D171=""),"",MAX(1,D171-C171))</f>
        <v/>
      </c>
      <c r="F171" s="32"/>
      <c r="G171" s="36" t="str">
        <f aca="false">IF(B171="","",IFERROR(IF(N(INDEX(Fleet!$N$5:$N$79,MATCH(B171,Fleet!$A$5:$A$79,0)))&gt;0,INDEX(Fleet!$N$5:$N$79,MATCH(B171,Fleet!$A$5:$A$79,0)),Assumptions!$B$7),Assumptions!$B$7))</f>
        <v/>
      </c>
      <c r="H171" s="34" t="str">
        <f aca="false">IF(OR(F171="",G171=""),"",F171*G171)</f>
        <v/>
      </c>
      <c r="I171" s="32"/>
      <c r="J171" s="32"/>
      <c r="K171" s="37"/>
      <c r="L171" s="38" t="str">
        <f aca="false">IF(C171="","",DATE(YEAR(C171),MONTH(C171),1))</f>
        <v/>
      </c>
      <c r="M171" s="34" t="str">
        <f aca="false">IF(F171="","",N(H171)+N(I171)-N(J171))</f>
        <v/>
      </c>
      <c r="N171" s="29"/>
    </row>
    <row r="172" customFormat="false" ht="15" hidden="false" customHeight="false" outlineLevel="0" collapsed="false">
      <c r="A172" s="29"/>
      <c r="B172" s="29"/>
      <c r="C172" s="31"/>
      <c r="D172" s="31"/>
      <c r="E172" s="35" t="str">
        <f aca="false">IF(OR(C172="",D172=""),"",MAX(1,D172-C172))</f>
        <v/>
      </c>
      <c r="F172" s="32"/>
      <c r="G172" s="36" t="str">
        <f aca="false">IF(B172="","",IFERROR(IF(N(INDEX(Fleet!$N$5:$N$79,MATCH(B172,Fleet!$A$5:$A$79,0)))&gt;0,INDEX(Fleet!$N$5:$N$79,MATCH(B172,Fleet!$A$5:$A$79,0)),Assumptions!$B$7),Assumptions!$B$7))</f>
        <v/>
      </c>
      <c r="H172" s="34" t="str">
        <f aca="false">IF(OR(F172="",G172=""),"",F172*G172)</f>
        <v/>
      </c>
      <c r="I172" s="32"/>
      <c r="J172" s="32"/>
      <c r="K172" s="37"/>
      <c r="L172" s="38" t="str">
        <f aca="false">IF(C172="","",DATE(YEAR(C172),MONTH(C172),1))</f>
        <v/>
      </c>
      <c r="M172" s="34" t="str">
        <f aca="false">IF(F172="","",N(H172)+N(I172)-N(J172))</f>
        <v/>
      </c>
      <c r="N172" s="29"/>
    </row>
    <row r="173" customFormat="false" ht="15" hidden="false" customHeight="false" outlineLevel="0" collapsed="false">
      <c r="A173" s="29"/>
      <c r="B173" s="29"/>
      <c r="C173" s="31"/>
      <c r="D173" s="31"/>
      <c r="E173" s="35" t="str">
        <f aca="false">IF(OR(C173="",D173=""),"",MAX(1,D173-C173))</f>
        <v/>
      </c>
      <c r="F173" s="32"/>
      <c r="G173" s="36" t="str">
        <f aca="false">IF(B173="","",IFERROR(IF(N(INDEX(Fleet!$N$5:$N$79,MATCH(B173,Fleet!$A$5:$A$79,0)))&gt;0,INDEX(Fleet!$N$5:$N$79,MATCH(B173,Fleet!$A$5:$A$79,0)),Assumptions!$B$7),Assumptions!$B$7))</f>
        <v/>
      </c>
      <c r="H173" s="34" t="str">
        <f aca="false">IF(OR(F173="",G173=""),"",F173*G173)</f>
        <v/>
      </c>
      <c r="I173" s="32"/>
      <c r="J173" s="32"/>
      <c r="K173" s="37"/>
      <c r="L173" s="38" t="str">
        <f aca="false">IF(C173="","",DATE(YEAR(C173),MONTH(C173),1))</f>
        <v/>
      </c>
      <c r="M173" s="34" t="str">
        <f aca="false">IF(F173="","",N(H173)+N(I173)-N(J173))</f>
        <v/>
      </c>
      <c r="N173" s="29"/>
    </row>
    <row r="174" customFormat="false" ht="15" hidden="false" customHeight="false" outlineLevel="0" collapsed="false">
      <c r="A174" s="29"/>
      <c r="B174" s="29"/>
      <c r="C174" s="31"/>
      <c r="D174" s="31"/>
      <c r="E174" s="35" t="str">
        <f aca="false">IF(OR(C174="",D174=""),"",MAX(1,D174-C174))</f>
        <v/>
      </c>
      <c r="F174" s="32"/>
      <c r="G174" s="36" t="str">
        <f aca="false">IF(B174="","",IFERROR(IF(N(INDEX(Fleet!$N$5:$N$79,MATCH(B174,Fleet!$A$5:$A$79,0)))&gt;0,INDEX(Fleet!$N$5:$N$79,MATCH(B174,Fleet!$A$5:$A$79,0)),Assumptions!$B$7),Assumptions!$B$7))</f>
        <v/>
      </c>
      <c r="H174" s="34" t="str">
        <f aca="false">IF(OR(F174="",G174=""),"",F174*G174)</f>
        <v/>
      </c>
      <c r="I174" s="32"/>
      <c r="J174" s="32"/>
      <c r="K174" s="37"/>
      <c r="L174" s="38" t="str">
        <f aca="false">IF(C174="","",DATE(YEAR(C174),MONTH(C174),1))</f>
        <v/>
      </c>
      <c r="M174" s="34" t="str">
        <f aca="false">IF(F174="","",N(H174)+N(I174)-N(J174))</f>
        <v/>
      </c>
      <c r="N174" s="29"/>
    </row>
    <row r="175" customFormat="false" ht="15" hidden="false" customHeight="false" outlineLevel="0" collapsed="false">
      <c r="A175" s="29"/>
      <c r="B175" s="29"/>
      <c r="C175" s="31"/>
      <c r="D175" s="31"/>
      <c r="E175" s="35" t="str">
        <f aca="false">IF(OR(C175="",D175=""),"",MAX(1,D175-C175))</f>
        <v/>
      </c>
      <c r="F175" s="32"/>
      <c r="G175" s="36" t="str">
        <f aca="false">IF(B175="","",IFERROR(IF(N(INDEX(Fleet!$N$5:$N$79,MATCH(B175,Fleet!$A$5:$A$79,0)))&gt;0,INDEX(Fleet!$N$5:$N$79,MATCH(B175,Fleet!$A$5:$A$79,0)),Assumptions!$B$7),Assumptions!$B$7))</f>
        <v/>
      </c>
      <c r="H175" s="34" t="str">
        <f aca="false">IF(OR(F175="",G175=""),"",F175*G175)</f>
        <v/>
      </c>
      <c r="I175" s="32"/>
      <c r="J175" s="32"/>
      <c r="K175" s="37"/>
      <c r="L175" s="38" t="str">
        <f aca="false">IF(C175="","",DATE(YEAR(C175),MONTH(C175),1))</f>
        <v/>
      </c>
      <c r="M175" s="34" t="str">
        <f aca="false">IF(F175="","",N(H175)+N(I175)-N(J175))</f>
        <v/>
      </c>
      <c r="N175" s="29"/>
    </row>
    <row r="176" customFormat="false" ht="15" hidden="false" customHeight="false" outlineLevel="0" collapsed="false">
      <c r="A176" s="29"/>
      <c r="B176" s="29"/>
      <c r="C176" s="31"/>
      <c r="D176" s="31"/>
      <c r="E176" s="35" t="str">
        <f aca="false">IF(OR(C176="",D176=""),"",MAX(1,D176-C176))</f>
        <v/>
      </c>
      <c r="F176" s="32"/>
      <c r="G176" s="36" t="str">
        <f aca="false">IF(B176="","",IFERROR(IF(N(INDEX(Fleet!$N$5:$N$79,MATCH(B176,Fleet!$A$5:$A$79,0)))&gt;0,INDEX(Fleet!$N$5:$N$79,MATCH(B176,Fleet!$A$5:$A$79,0)),Assumptions!$B$7),Assumptions!$B$7))</f>
        <v/>
      </c>
      <c r="H176" s="34" t="str">
        <f aca="false">IF(OR(F176="",G176=""),"",F176*G176)</f>
        <v/>
      </c>
      <c r="I176" s="32"/>
      <c r="J176" s="32"/>
      <c r="K176" s="37"/>
      <c r="L176" s="38" t="str">
        <f aca="false">IF(C176="","",DATE(YEAR(C176),MONTH(C176),1))</f>
        <v/>
      </c>
      <c r="M176" s="34" t="str">
        <f aca="false">IF(F176="","",N(H176)+N(I176)-N(J176))</f>
        <v/>
      </c>
      <c r="N176" s="29"/>
    </row>
    <row r="177" customFormat="false" ht="15" hidden="false" customHeight="false" outlineLevel="0" collapsed="false">
      <c r="A177" s="29"/>
      <c r="B177" s="29"/>
      <c r="C177" s="31"/>
      <c r="D177" s="31"/>
      <c r="E177" s="35" t="str">
        <f aca="false">IF(OR(C177="",D177=""),"",MAX(1,D177-C177))</f>
        <v/>
      </c>
      <c r="F177" s="32"/>
      <c r="G177" s="36" t="str">
        <f aca="false">IF(B177="","",IFERROR(IF(N(INDEX(Fleet!$N$5:$N$79,MATCH(B177,Fleet!$A$5:$A$79,0)))&gt;0,INDEX(Fleet!$N$5:$N$79,MATCH(B177,Fleet!$A$5:$A$79,0)),Assumptions!$B$7),Assumptions!$B$7))</f>
        <v/>
      </c>
      <c r="H177" s="34" t="str">
        <f aca="false">IF(OR(F177="",G177=""),"",F177*G177)</f>
        <v/>
      </c>
      <c r="I177" s="32"/>
      <c r="J177" s="32"/>
      <c r="K177" s="37"/>
      <c r="L177" s="38" t="str">
        <f aca="false">IF(C177="","",DATE(YEAR(C177),MONTH(C177),1))</f>
        <v/>
      </c>
      <c r="M177" s="34" t="str">
        <f aca="false">IF(F177="","",N(H177)+N(I177)-N(J177))</f>
        <v/>
      </c>
      <c r="N177" s="29"/>
    </row>
    <row r="178" customFormat="false" ht="15" hidden="false" customHeight="false" outlineLevel="0" collapsed="false">
      <c r="A178" s="29"/>
      <c r="B178" s="29"/>
      <c r="C178" s="31"/>
      <c r="D178" s="31"/>
      <c r="E178" s="35" t="str">
        <f aca="false">IF(OR(C178="",D178=""),"",MAX(1,D178-C178))</f>
        <v/>
      </c>
      <c r="F178" s="32"/>
      <c r="G178" s="36" t="str">
        <f aca="false">IF(B178="","",IFERROR(IF(N(INDEX(Fleet!$N$5:$N$79,MATCH(B178,Fleet!$A$5:$A$79,0)))&gt;0,INDEX(Fleet!$N$5:$N$79,MATCH(B178,Fleet!$A$5:$A$79,0)),Assumptions!$B$7),Assumptions!$B$7))</f>
        <v/>
      </c>
      <c r="H178" s="34" t="str">
        <f aca="false">IF(OR(F178="",G178=""),"",F178*G178)</f>
        <v/>
      </c>
      <c r="I178" s="32"/>
      <c r="J178" s="32"/>
      <c r="K178" s="37"/>
      <c r="L178" s="38" t="str">
        <f aca="false">IF(C178="","",DATE(YEAR(C178),MONTH(C178),1))</f>
        <v/>
      </c>
      <c r="M178" s="34" t="str">
        <f aca="false">IF(F178="","",N(H178)+N(I178)-N(J178))</f>
        <v/>
      </c>
      <c r="N178" s="29"/>
    </row>
    <row r="179" customFormat="false" ht="15" hidden="false" customHeight="false" outlineLevel="0" collapsed="false">
      <c r="A179" s="29"/>
      <c r="B179" s="29"/>
      <c r="C179" s="31"/>
      <c r="D179" s="31"/>
      <c r="E179" s="35" t="str">
        <f aca="false">IF(OR(C179="",D179=""),"",MAX(1,D179-C179))</f>
        <v/>
      </c>
      <c r="F179" s="32"/>
      <c r="G179" s="36" t="str">
        <f aca="false">IF(B179="","",IFERROR(IF(N(INDEX(Fleet!$N$5:$N$79,MATCH(B179,Fleet!$A$5:$A$79,0)))&gt;0,INDEX(Fleet!$N$5:$N$79,MATCH(B179,Fleet!$A$5:$A$79,0)),Assumptions!$B$7),Assumptions!$B$7))</f>
        <v/>
      </c>
      <c r="H179" s="34" t="str">
        <f aca="false">IF(OR(F179="",G179=""),"",F179*G179)</f>
        <v/>
      </c>
      <c r="I179" s="32"/>
      <c r="J179" s="32"/>
      <c r="K179" s="37"/>
      <c r="L179" s="38" t="str">
        <f aca="false">IF(C179="","",DATE(YEAR(C179),MONTH(C179),1))</f>
        <v/>
      </c>
      <c r="M179" s="34" t="str">
        <f aca="false">IF(F179="","",N(H179)+N(I179)-N(J179))</f>
        <v/>
      </c>
      <c r="N179" s="29"/>
    </row>
    <row r="180" customFormat="false" ht="15" hidden="false" customHeight="false" outlineLevel="0" collapsed="false">
      <c r="A180" s="29"/>
      <c r="B180" s="29"/>
      <c r="C180" s="31"/>
      <c r="D180" s="31"/>
      <c r="E180" s="35" t="str">
        <f aca="false">IF(OR(C180="",D180=""),"",MAX(1,D180-C180))</f>
        <v/>
      </c>
      <c r="F180" s="32"/>
      <c r="G180" s="36" t="str">
        <f aca="false">IF(B180="","",IFERROR(IF(N(INDEX(Fleet!$N$5:$N$79,MATCH(B180,Fleet!$A$5:$A$79,0)))&gt;0,INDEX(Fleet!$N$5:$N$79,MATCH(B180,Fleet!$A$5:$A$79,0)),Assumptions!$B$7),Assumptions!$B$7))</f>
        <v/>
      </c>
      <c r="H180" s="34" t="str">
        <f aca="false">IF(OR(F180="",G180=""),"",F180*G180)</f>
        <v/>
      </c>
      <c r="I180" s="32"/>
      <c r="J180" s="32"/>
      <c r="K180" s="37"/>
      <c r="L180" s="38" t="str">
        <f aca="false">IF(C180="","",DATE(YEAR(C180),MONTH(C180),1))</f>
        <v/>
      </c>
      <c r="M180" s="34" t="str">
        <f aca="false">IF(F180="","",N(H180)+N(I180)-N(J180))</f>
        <v/>
      </c>
      <c r="N180" s="29"/>
    </row>
    <row r="181" customFormat="false" ht="15" hidden="false" customHeight="false" outlineLevel="0" collapsed="false">
      <c r="A181" s="29"/>
      <c r="B181" s="29"/>
      <c r="C181" s="31"/>
      <c r="D181" s="31"/>
      <c r="E181" s="35" t="str">
        <f aca="false">IF(OR(C181="",D181=""),"",MAX(1,D181-C181))</f>
        <v/>
      </c>
      <c r="F181" s="32"/>
      <c r="G181" s="36" t="str">
        <f aca="false">IF(B181="","",IFERROR(IF(N(INDEX(Fleet!$N$5:$N$79,MATCH(B181,Fleet!$A$5:$A$79,0)))&gt;0,INDEX(Fleet!$N$5:$N$79,MATCH(B181,Fleet!$A$5:$A$79,0)),Assumptions!$B$7),Assumptions!$B$7))</f>
        <v/>
      </c>
      <c r="H181" s="34" t="str">
        <f aca="false">IF(OR(F181="",G181=""),"",F181*G181)</f>
        <v/>
      </c>
      <c r="I181" s="32"/>
      <c r="J181" s="32"/>
      <c r="K181" s="37"/>
      <c r="L181" s="38" t="str">
        <f aca="false">IF(C181="","",DATE(YEAR(C181),MONTH(C181),1))</f>
        <v/>
      </c>
      <c r="M181" s="34" t="str">
        <f aca="false">IF(F181="","",N(H181)+N(I181)-N(J181))</f>
        <v/>
      </c>
      <c r="N181" s="29"/>
    </row>
    <row r="182" customFormat="false" ht="15" hidden="false" customHeight="false" outlineLevel="0" collapsed="false">
      <c r="A182" s="29"/>
      <c r="B182" s="29"/>
      <c r="C182" s="31"/>
      <c r="D182" s="31"/>
      <c r="E182" s="35" t="str">
        <f aca="false">IF(OR(C182="",D182=""),"",MAX(1,D182-C182))</f>
        <v/>
      </c>
      <c r="F182" s="32"/>
      <c r="G182" s="36" t="str">
        <f aca="false">IF(B182="","",IFERROR(IF(N(INDEX(Fleet!$N$5:$N$79,MATCH(B182,Fleet!$A$5:$A$79,0)))&gt;0,INDEX(Fleet!$N$5:$N$79,MATCH(B182,Fleet!$A$5:$A$79,0)),Assumptions!$B$7),Assumptions!$B$7))</f>
        <v/>
      </c>
      <c r="H182" s="34" t="str">
        <f aca="false">IF(OR(F182="",G182=""),"",F182*G182)</f>
        <v/>
      </c>
      <c r="I182" s="32"/>
      <c r="J182" s="32"/>
      <c r="K182" s="37"/>
      <c r="L182" s="38" t="str">
        <f aca="false">IF(C182="","",DATE(YEAR(C182),MONTH(C182),1))</f>
        <v/>
      </c>
      <c r="M182" s="34" t="str">
        <f aca="false">IF(F182="","",N(H182)+N(I182)-N(J182))</f>
        <v/>
      </c>
      <c r="N182" s="29"/>
    </row>
    <row r="183" customFormat="false" ht="15" hidden="false" customHeight="false" outlineLevel="0" collapsed="false">
      <c r="A183" s="29"/>
      <c r="B183" s="29"/>
      <c r="C183" s="31"/>
      <c r="D183" s="31"/>
      <c r="E183" s="35" t="str">
        <f aca="false">IF(OR(C183="",D183=""),"",MAX(1,D183-C183))</f>
        <v/>
      </c>
      <c r="F183" s="32"/>
      <c r="G183" s="36" t="str">
        <f aca="false">IF(B183="","",IFERROR(IF(N(INDEX(Fleet!$N$5:$N$79,MATCH(B183,Fleet!$A$5:$A$79,0)))&gt;0,INDEX(Fleet!$N$5:$N$79,MATCH(B183,Fleet!$A$5:$A$79,0)),Assumptions!$B$7),Assumptions!$B$7))</f>
        <v/>
      </c>
      <c r="H183" s="34" t="str">
        <f aca="false">IF(OR(F183="",G183=""),"",F183*G183)</f>
        <v/>
      </c>
      <c r="I183" s="32"/>
      <c r="J183" s="32"/>
      <c r="K183" s="37"/>
      <c r="L183" s="38" t="str">
        <f aca="false">IF(C183="","",DATE(YEAR(C183),MONTH(C183),1))</f>
        <v/>
      </c>
      <c r="M183" s="34" t="str">
        <f aca="false">IF(F183="","",N(H183)+N(I183)-N(J183))</f>
        <v/>
      </c>
      <c r="N183" s="29"/>
    </row>
    <row r="184" customFormat="false" ht="15" hidden="false" customHeight="false" outlineLevel="0" collapsed="false">
      <c r="A184" s="29"/>
      <c r="B184" s="29"/>
      <c r="C184" s="31"/>
      <c r="D184" s="31"/>
      <c r="E184" s="35" t="str">
        <f aca="false">IF(OR(C184="",D184=""),"",MAX(1,D184-C184))</f>
        <v/>
      </c>
      <c r="F184" s="32"/>
      <c r="G184" s="36" t="str">
        <f aca="false">IF(B184="","",IFERROR(IF(N(INDEX(Fleet!$N$5:$N$79,MATCH(B184,Fleet!$A$5:$A$79,0)))&gt;0,INDEX(Fleet!$N$5:$N$79,MATCH(B184,Fleet!$A$5:$A$79,0)),Assumptions!$B$7),Assumptions!$B$7))</f>
        <v/>
      </c>
      <c r="H184" s="34" t="str">
        <f aca="false">IF(OR(F184="",G184=""),"",F184*G184)</f>
        <v/>
      </c>
      <c r="I184" s="32"/>
      <c r="J184" s="32"/>
      <c r="K184" s="37"/>
      <c r="L184" s="38" t="str">
        <f aca="false">IF(C184="","",DATE(YEAR(C184),MONTH(C184),1))</f>
        <v/>
      </c>
      <c r="M184" s="34" t="str">
        <f aca="false">IF(F184="","",N(H184)+N(I184)-N(J184))</f>
        <v/>
      </c>
      <c r="N184" s="29"/>
    </row>
    <row r="185" customFormat="false" ht="15" hidden="false" customHeight="false" outlineLevel="0" collapsed="false">
      <c r="A185" s="29"/>
      <c r="B185" s="29"/>
      <c r="C185" s="31"/>
      <c r="D185" s="31"/>
      <c r="E185" s="35" t="str">
        <f aca="false">IF(OR(C185="",D185=""),"",MAX(1,D185-C185))</f>
        <v/>
      </c>
      <c r="F185" s="32"/>
      <c r="G185" s="36" t="str">
        <f aca="false">IF(B185="","",IFERROR(IF(N(INDEX(Fleet!$N$5:$N$79,MATCH(B185,Fleet!$A$5:$A$79,0)))&gt;0,INDEX(Fleet!$N$5:$N$79,MATCH(B185,Fleet!$A$5:$A$79,0)),Assumptions!$B$7),Assumptions!$B$7))</f>
        <v/>
      </c>
      <c r="H185" s="34" t="str">
        <f aca="false">IF(OR(F185="",G185=""),"",F185*G185)</f>
        <v/>
      </c>
      <c r="I185" s="32"/>
      <c r="J185" s="32"/>
      <c r="K185" s="37"/>
      <c r="L185" s="38" t="str">
        <f aca="false">IF(C185="","",DATE(YEAR(C185),MONTH(C185),1))</f>
        <v/>
      </c>
      <c r="M185" s="34" t="str">
        <f aca="false">IF(F185="","",N(H185)+N(I185)-N(J185))</f>
        <v/>
      </c>
      <c r="N185" s="29"/>
    </row>
    <row r="186" customFormat="false" ht="15" hidden="false" customHeight="false" outlineLevel="0" collapsed="false">
      <c r="A186" s="29"/>
      <c r="B186" s="29"/>
      <c r="C186" s="31"/>
      <c r="D186" s="31"/>
      <c r="E186" s="35" t="str">
        <f aca="false">IF(OR(C186="",D186=""),"",MAX(1,D186-C186))</f>
        <v/>
      </c>
      <c r="F186" s="32"/>
      <c r="G186" s="36" t="str">
        <f aca="false">IF(B186="","",IFERROR(IF(N(INDEX(Fleet!$N$5:$N$79,MATCH(B186,Fleet!$A$5:$A$79,0)))&gt;0,INDEX(Fleet!$N$5:$N$79,MATCH(B186,Fleet!$A$5:$A$79,0)),Assumptions!$B$7),Assumptions!$B$7))</f>
        <v/>
      </c>
      <c r="H186" s="34" t="str">
        <f aca="false">IF(OR(F186="",G186=""),"",F186*G186)</f>
        <v/>
      </c>
      <c r="I186" s="32"/>
      <c r="J186" s="32"/>
      <c r="K186" s="37"/>
      <c r="L186" s="38" t="str">
        <f aca="false">IF(C186="","",DATE(YEAR(C186),MONTH(C186),1))</f>
        <v/>
      </c>
      <c r="M186" s="34" t="str">
        <f aca="false">IF(F186="","",N(H186)+N(I186)-N(J186))</f>
        <v/>
      </c>
      <c r="N186" s="29"/>
    </row>
    <row r="187" customFormat="false" ht="15" hidden="false" customHeight="false" outlineLevel="0" collapsed="false">
      <c r="A187" s="29"/>
      <c r="B187" s="29"/>
      <c r="C187" s="31"/>
      <c r="D187" s="31"/>
      <c r="E187" s="35" t="str">
        <f aca="false">IF(OR(C187="",D187=""),"",MAX(1,D187-C187))</f>
        <v/>
      </c>
      <c r="F187" s="32"/>
      <c r="G187" s="36" t="str">
        <f aca="false">IF(B187="","",IFERROR(IF(N(INDEX(Fleet!$N$5:$N$79,MATCH(B187,Fleet!$A$5:$A$79,0)))&gt;0,INDEX(Fleet!$N$5:$N$79,MATCH(B187,Fleet!$A$5:$A$79,0)),Assumptions!$B$7),Assumptions!$B$7))</f>
        <v/>
      </c>
      <c r="H187" s="34" t="str">
        <f aca="false">IF(OR(F187="",G187=""),"",F187*G187)</f>
        <v/>
      </c>
      <c r="I187" s="32"/>
      <c r="J187" s="32"/>
      <c r="K187" s="37"/>
      <c r="L187" s="38" t="str">
        <f aca="false">IF(C187="","",DATE(YEAR(C187),MONTH(C187),1))</f>
        <v/>
      </c>
      <c r="M187" s="34" t="str">
        <f aca="false">IF(F187="","",N(H187)+N(I187)-N(J187))</f>
        <v/>
      </c>
      <c r="N187" s="29"/>
    </row>
    <row r="188" customFormat="false" ht="15" hidden="false" customHeight="false" outlineLevel="0" collapsed="false">
      <c r="A188" s="29"/>
      <c r="B188" s="29"/>
      <c r="C188" s="31"/>
      <c r="D188" s="31"/>
      <c r="E188" s="35" t="str">
        <f aca="false">IF(OR(C188="",D188=""),"",MAX(1,D188-C188))</f>
        <v/>
      </c>
      <c r="F188" s="32"/>
      <c r="G188" s="36" t="str">
        <f aca="false">IF(B188="","",IFERROR(IF(N(INDEX(Fleet!$N$5:$N$79,MATCH(B188,Fleet!$A$5:$A$79,0)))&gt;0,INDEX(Fleet!$N$5:$N$79,MATCH(B188,Fleet!$A$5:$A$79,0)),Assumptions!$B$7),Assumptions!$B$7))</f>
        <v/>
      </c>
      <c r="H188" s="34" t="str">
        <f aca="false">IF(OR(F188="",G188=""),"",F188*G188)</f>
        <v/>
      </c>
      <c r="I188" s="32"/>
      <c r="J188" s="32"/>
      <c r="K188" s="37"/>
      <c r="L188" s="38" t="str">
        <f aca="false">IF(C188="","",DATE(YEAR(C188),MONTH(C188),1))</f>
        <v/>
      </c>
      <c r="M188" s="34" t="str">
        <f aca="false">IF(F188="","",N(H188)+N(I188)-N(J188))</f>
        <v/>
      </c>
      <c r="N188" s="29"/>
    </row>
    <row r="189" customFormat="false" ht="15" hidden="false" customHeight="false" outlineLevel="0" collapsed="false">
      <c r="A189" s="29"/>
      <c r="B189" s="29"/>
      <c r="C189" s="31"/>
      <c r="D189" s="31"/>
      <c r="E189" s="35" t="str">
        <f aca="false">IF(OR(C189="",D189=""),"",MAX(1,D189-C189))</f>
        <v/>
      </c>
      <c r="F189" s="32"/>
      <c r="G189" s="36" t="str">
        <f aca="false">IF(B189="","",IFERROR(IF(N(INDEX(Fleet!$N$5:$N$79,MATCH(B189,Fleet!$A$5:$A$79,0)))&gt;0,INDEX(Fleet!$N$5:$N$79,MATCH(B189,Fleet!$A$5:$A$79,0)),Assumptions!$B$7),Assumptions!$B$7))</f>
        <v/>
      </c>
      <c r="H189" s="34" t="str">
        <f aca="false">IF(OR(F189="",G189=""),"",F189*G189)</f>
        <v/>
      </c>
      <c r="I189" s="32"/>
      <c r="J189" s="32"/>
      <c r="K189" s="37"/>
      <c r="L189" s="38" t="str">
        <f aca="false">IF(C189="","",DATE(YEAR(C189),MONTH(C189),1))</f>
        <v/>
      </c>
      <c r="M189" s="34" t="str">
        <f aca="false">IF(F189="","",N(H189)+N(I189)-N(J189))</f>
        <v/>
      </c>
      <c r="N189" s="29"/>
    </row>
    <row r="190" customFormat="false" ht="15" hidden="false" customHeight="false" outlineLevel="0" collapsed="false">
      <c r="A190" s="29"/>
      <c r="B190" s="29"/>
      <c r="C190" s="31"/>
      <c r="D190" s="31"/>
      <c r="E190" s="35" t="str">
        <f aca="false">IF(OR(C190="",D190=""),"",MAX(1,D190-C190))</f>
        <v/>
      </c>
      <c r="F190" s="32"/>
      <c r="G190" s="36" t="str">
        <f aca="false">IF(B190="","",IFERROR(IF(N(INDEX(Fleet!$N$5:$N$79,MATCH(B190,Fleet!$A$5:$A$79,0)))&gt;0,INDEX(Fleet!$N$5:$N$79,MATCH(B190,Fleet!$A$5:$A$79,0)),Assumptions!$B$7),Assumptions!$B$7))</f>
        <v/>
      </c>
      <c r="H190" s="34" t="str">
        <f aca="false">IF(OR(F190="",G190=""),"",F190*G190)</f>
        <v/>
      </c>
      <c r="I190" s="32"/>
      <c r="J190" s="32"/>
      <c r="K190" s="37"/>
      <c r="L190" s="38" t="str">
        <f aca="false">IF(C190="","",DATE(YEAR(C190),MONTH(C190),1))</f>
        <v/>
      </c>
      <c r="M190" s="34" t="str">
        <f aca="false">IF(F190="","",N(H190)+N(I190)-N(J190))</f>
        <v/>
      </c>
      <c r="N190" s="29"/>
    </row>
    <row r="191" customFormat="false" ht="15" hidden="false" customHeight="false" outlineLevel="0" collapsed="false">
      <c r="A191" s="29"/>
      <c r="B191" s="29"/>
      <c r="C191" s="31"/>
      <c r="D191" s="31"/>
      <c r="E191" s="35" t="str">
        <f aca="false">IF(OR(C191="",D191=""),"",MAX(1,D191-C191))</f>
        <v/>
      </c>
      <c r="F191" s="32"/>
      <c r="G191" s="36" t="str">
        <f aca="false">IF(B191="","",IFERROR(IF(N(INDEX(Fleet!$N$5:$N$79,MATCH(B191,Fleet!$A$5:$A$79,0)))&gt;0,INDEX(Fleet!$N$5:$N$79,MATCH(B191,Fleet!$A$5:$A$79,0)),Assumptions!$B$7),Assumptions!$B$7))</f>
        <v/>
      </c>
      <c r="H191" s="34" t="str">
        <f aca="false">IF(OR(F191="",G191=""),"",F191*G191)</f>
        <v/>
      </c>
      <c r="I191" s="32"/>
      <c r="J191" s="32"/>
      <c r="K191" s="37"/>
      <c r="L191" s="38" t="str">
        <f aca="false">IF(C191="","",DATE(YEAR(C191),MONTH(C191),1))</f>
        <v/>
      </c>
      <c r="M191" s="34" t="str">
        <f aca="false">IF(F191="","",N(H191)+N(I191)-N(J191))</f>
        <v/>
      </c>
      <c r="N191" s="29"/>
    </row>
    <row r="192" customFormat="false" ht="15" hidden="false" customHeight="false" outlineLevel="0" collapsed="false">
      <c r="A192" s="29"/>
      <c r="B192" s="29"/>
      <c r="C192" s="31"/>
      <c r="D192" s="31"/>
      <c r="E192" s="35" t="str">
        <f aca="false">IF(OR(C192="",D192=""),"",MAX(1,D192-C192))</f>
        <v/>
      </c>
      <c r="F192" s="32"/>
      <c r="G192" s="36" t="str">
        <f aca="false">IF(B192="","",IFERROR(IF(N(INDEX(Fleet!$N$5:$N$79,MATCH(B192,Fleet!$A$5:$A$79,0)))&gt;0,INDEX(Fleet!$N$5:$N$79,MATCH(B192,Fleet!$A$5:$A$79,0)),Assumptions!$B$7),Assumptions!$B$7))</f>
        <v/>
      </c>
      <c r="H192" s="34" t="str">
        <f aca="false">IF(OR(F192="",G192=""),"",F192*G192)</f>
        <v/>
      </c>
      <c r="I192" s="32"/>
      <c r="J192" s="32"/>
      <c r="K192" s="37"/>
      <c r="L192" s="38" t="str">
        <f aca="false">IF(C192="","",DATE(YEAR(C192),MONTH(C192),1))</f>
        <v/>
      </c>
      <c r="M192" s="34" t="str">
        <f aca="false">IF(F192="","",N(H192)+N(I192)-N(J192))</f>
        <v/>
      </c>
      <c r="N192" s="29"/>
    </row>
    <row r="193" customFormat="false" ht="15" hidden="false" customHeight="false" outlineLevel="0" collapsed="false">
      <c r="A193" s="29"/>
      <c r="B193" s="29"/>
      <c r="C193" s="31"/>
      <c r="D193" s="31"/>
      <c r="E193" s="35" t="str">
        <f aca="false">IF(OR(C193="",D193=""),"",MAX(1,D193-C193))</f>
        <v/>
      </c>
      <c r="F193" s="32"/>
      <c r="G193" s="36" t="str">
        <f aca="false">IF(B193="","",IFERROR(IF(N(INDEX(Fleet!$N$5:$N$79,MATCH(B193,Fleet!$A$5:$A$79,0)))&gt;0,INDEX(Fleet!$N$5:$N$79,MATCH(B193,Fleet!$A$5:$A$79,0)),Assumptions!$B$7),Assumptions!$B$7))</f>
        <v/>
      </c>
      <c r="H193" s="34" t="str">
        <f aca="false">IF(OR(F193="",G193=""),"",F193*G193)</f>
        <v/>
      </c>
      <c r="I193" s="32"/>
      <c r="J193" s="32"/>
      <c r="K193" s="37"/>
      <c r="L193" s="38" t="str">
        <f aca="false">IF(C193="","",DATE(YEAR(C193),MONTH(C193),1))</f>
        <v/>
      </c>
      <c r="M193" s="34" t="str">
        <f aca="false">IF(F193="","",N(H193)+N(I193)-N(J193))</f>
        <v/>
      </c>
      <c r="N193" s="29"/>
    </row>
    <row r="194" customFormat="false" ht="15" hidden="false" customHeight="false" outlineLevel="0" collapsed="false">
      <c r="A194" s="29"/>
      <c r="B194" s="29"/>
      <c r="C194" s="31"/>
      <c r="D194" s="31"/>
      <c r="E194" s="35" t="str">
        <f aca="false">IF(OR(C194="",D194=""),"",MAX(1,D194-C194))</f>
        <v/>
      </c>
      <c r="F194" s="32"/>
      <c r="G194" s="36" t="str">
        <f aca="false">IF(B194="","",IFERROR(IF(N(INDEX(Fleet!$N$5:$N$79,MATCH(B194,Fleet!$A$5:$A$79,0)))&gt;0,INDEX(Fleet!$N$5:$N$79,MATCH(B194,Fleet!$A$5:$A$79,0)),Assumptions!$B$7),Assumptions!$B$7))</f>
        <v/>
      </c>
      <c r="H194" s="34" t="str">
        <f aca="false">IF(OR(F194="",G194=""),"",F194*G194)</f>
        <v/>
      </c>
      <c r="I194" s="32"/>
      <c r="J194" s="32"/>
      <c r="K194" s="37"/>
      <c r="L194" s="38" t="str">
        <f aca="false">IF(C194="","",DATE(YEAR(C194),MONTH(C194),1))</f>
        <v/>
      </c>
      <c r="M194" s="34" t="str">
        <f aca="false">IF(F194="","",N(H194)+N(I194)-N(J194))</f>
        <v/>
      </c>
      <c r="N194" s="29"/>
    </row>
    <row r="195" customFormat="false" ht="15" hidden="false" customHeight="false" outlineLevel="0" collapsed="false">
      <c r="A195" s="29"/>
      <c r="B195" s="29"/>
      <c r="C195" s="31"/>
      <c r="D195" s="31"/>
      <c r="E195" s="35" t="str">
        <f aca="false">IF(OR(C195="",D195=""),"",MAX(1,D195-C195))</f>
        <v/>
      </c>
      <c r="F195" s="32"/>
      <c r="G195" s="36" t="str">
        <f aca="false">IF(B195="","",IFERROR(IF(N(INDEX(Fleet!$N$5:$N$79,MATCH(B195,Fleet!$A$5:$A$79,0)))&gt;0,INDEX(Fleet!$N$5:$N$79,MATCH(B195,Fleet!$A$5:$A$79,0)),Assumptions!$B$7),Assumptions!$B$7))</f>
        <v/>
      </c>
      <c r="H195" s="34" t="str">
        <f aca="false">IF(OR(F195="",G195=""),"",F195*G195)</f>
        <v/>
      </c>
      <c r="I195" s="32"/>
      <c r="J195" s="32"/>
      <c r="K195" s="37"/>
      <c r="L195" s="38" t="str">
        <f aca="false">IF(C195="","",DATE(YEAR(C195),MONTH(C195),1))</f>
        <v/>
      </c>
      <c r="M195" s="34" t="str">
        <f aca="false">IF(F195="","",N(H195)+N(I195)-N(J195))</f>
        <v/>
      </c>
      <c r="N195" s="29"/>
    </row>
    <row r="196" customFormat="false" ht="15" hidden="false" customHeight="false" outlineLevel="0" collapsed="false">
      <c r="A196" s="29"/>
      <c r="B196" s="29"/>
      <c r="C196" s="31"/>
      <c r="D196" s="31"/>
      <c r="E196" s="35" t="str">
        <f aca="false">IF(OR(C196="",D196=""),"",MAX(1,D196-C196))</f>
        <v/>
      </c>
      <c r="F196" s="32"/>
      <c r="G196" s="36" t="str">
        <f aca="false">IF(B196="","",IFERROR(IF(N(INDEX(Fleet!$N$5:$N$79,MATCH(B196,Fleet!$A$5:$A$79,0)))&gt;0,INDEX(Fleet!$N$5:$N$79,MATCH(B196,Fleet!$A$5:$A$79,0)),Assumptions!$B$7),Assumptions!$B$7))</f>
        <v/>
      </c>
      <c r="H196" s="34" t="str">
        <f aca="false">IF(OR(F196="",G196=""),"",F196*G196)</f>
        <v/>
      </c>
      <c r="I196" s="32"/>
      <c r="J196" s="32"/>
      <c r="K196" s="37"/>
      <c r="L196" s="38" t="str">
        <f aca="false">IF(C196="","",DATE(YEAR(C196),MONTH(C196),1))</f>
        <v/>
      </c>
      <c r="M196" s="34" t="str">
        <f aca="false">IF(F196="","",N(H196)+N(I196)-N(J196))</f>
        <v/>
      </c>
      <c r="N196" s="29"/>
    </row>
    <row r="197" customFormat="false" ht="15" hidden="false" customHeight="false" outlineLevel="0" collapsed="false">
      <c r="A197" s="29"/>
      <c r="B197" s="29"/>
      <c r="C197" s="31"/>
      <c r="D197" s="31"/>
      <c r="E197" s="35" t="str">
        <f aca="false">IF(OR(C197="",D197=""),"",MAX(1,D197-C197))</f>
        <v/>
      </c>
      <c r="F197" s="32"/>
      <c r="G197" s="36" t="str">
        <f aca="false">IF(B197="","",IFERROR(IF(N(INDEX(Fleet!$N$5:$N$79,MATCH(B197,Fleet!$A$5:$A$79,0)))&gt;0,INDEX(Fleet!$N$5:$N$79,MATCH(B197,Fleet!$A$5:$A$79,0)),Assumptions!$B$7),Assumptions!$B$7))</f>
        <v/>
      </c>
      <c r="H197" s="34" t="str">
        <f aca="false">IF(OR(F197="",G197=""),"",F197*G197)</f>
        <v/>
      </c>
      <c r="I197" s="32"/>
      <c r="J197" s="32"/>
      <c r="K197" s="37"/>
      <c r="L197" s="38" t="str">
        <f aca="false">IF(C197="","",DATE(YEAR(C197),MONTH(C197),1))</f>
        <v/>
      </c>
      <c r="M197" s="34" t="str">
        <f aca="false">IF(F197="","",N(H197)+N(I197)-N(J197))</f>
        <v/>
      </c>
      <c r="N197" s="29"/>
    </row>
    <row r="198" customFormat="false" ht="15" hidden="false" customHeight="false" outlineLevel="0" collapsed="false">
      <c r="A198" s="29"/>
      <c r="B198" s="29"/>
      <c r="C198" s="31"/>
      <c r="D198" s="31"/>
      <c r="E198" s="35" t="str">
        <f aca="false">IF(OR(C198="",D198=""),"",MAX(1,D198-C198))</f>
        <v/>
      </c>
      <c r="F198" s="32"/>
      <c r="G198" s="36" t="str">
        <f aca="false">IF(B198="","",IFERROR(IF(N(INDEX(Fleet!$N$5:$N$79,MATCH(B198,Fleet!$A$5:$A$79,0)))&gt;0,INDEX(Fleet!$N$5:$N$79,MATCH(B198,Fleet!$A$5:$A$79,0)),Assumptions!$B$7),Assumptions!$B$7))</f>
        <v/>
      </c>
      <c r="H198" s="34" t="str">
        <f aca="false">IF(OR(F198="",G198=""),"",F198*G198)</f>
        <v/>
      </c>
      <c r="I198" s="32"/>
      <c r="J198" s="32"/>
      <c r="K198" s="37"/>
      <c r="L198" s="38" t="str">
        <f aca="false">IF(C198="","",DATE(YEAR(C198),MONTH(C198),1))</f>
        <v/>
      </c>
      <c r="M198" s="34" t="str">
        <f aca="false">IF(F198="","",N(H198)+N(I198)-N(J198))</f>
        <v/>
      </c>
      <c r="N198" s="29"/>
    </row>
    <row r="199" customFormat="false" ht="15" hidden="false" customHeight="false" outlineLevel="0" collapsed="false">
      <c r="A199" s="29"/>
      <c r="B199" s="29"/>
      <c r="C199" s="31"/>
      <c r="D199" s="31"/>
      <c r="E199" s="35" t="str">
        <f aca="false">IF(OR(C199="",D199=""),"",MAX(1,D199-C199))</f>
        <v/>
      </c>
      <c r="F199" s="32"/>
      <c r="G199" s="36" t="str">
        <f aca="false">IF(B199="","",IFERROR(IF(N(INDEX(Fleet!$N$5:$N$79,MATCH(B199,Fleet!$A$5:$A$79,0)))&gt;0,INDEX(Fleet!$N$5:$N$79,MATCH(B199,Fleet!$A$5:$A$79,0)),Assumptions!$B$7),Assumptions!$B$7))</f>
        <v/>
      </c>
      <c r="H199" s="34" t="str">
        <f aca="false">IF(OR(F199="",G199=""),"",F199*G199)</f>
        <v/>
      </c>
      <c r="I199" s="32"/>
      <c r="J199" s="32"/>
      <c r="K199" s="37"/>
      <c r="L199" s="38" t="str">
        <f aca="false">IF(C199="","",DATE(YEAR(C199),MONTH(C199),1))</f>
        <v/>
      </c>
      <c r="M199" s="34" t="str">
        <f aca="false">IF(F199="","",N(H199)+N(I199)-N(J199))</f>
        <v/>
      </c>
      <c r="N199" s="29"/>
    </row>
    <row r="200" customFormat="false" ht="15" hidden="false" customHeight="false" outlineLevel="0" collapsed="false">
      <c r="A200" s="29"/>
      <c r="B200" s="29"/>
      <c r="C200" s="31"/>
      <c r="D200" s="31"/>
      <c r="E200" s="35" t="str">
        <f aca="false">IF(OR(C200="",D200=""),"",MAX(1,D200-C200))</f>
        <v/>
      </c>
      <c r="F200" s="32"/>
      <c r="G200" s="36" t="str">
        <f aca="false">IF(B200="","",IFERROR(IF(N(INDEX(Fleet!$N$5:$N$79,MATCH(B200,Fleet!$A$5:$A$79,0)))&gt;0,INDEX(Fleet!$N$5:$N$79,MATCH(B200,Fleet!$A$5:$A$79,0)),Assumptions!$B$7),Assumptions!$B$7))</f>
        <v/>
      </c>
      <c r="H200" s="34" t="str">
        <f aca="false">IF(OR(F200="",G200=""),"",F200*G200)</f>
        <v/>
      </c>
      <c r="I200" s="32"/>
      <c r="J200" s="32"/>
      <c r="K200" s="37"/>
      <c r="L200" s="38" t="str">
        <f aca="false">IF(C200="","",DATE(YEAR(C200),MONTH(C200),1))</f>
        <v/>
      </c>
      <c r="M200" s="34" t="str">
        <f aca="false">IF(F200="","",N(H200)+N(I200)-N(J200))</f>
        <v/>
      </c>
      <c r="N200" s="29"/>
    </row>
    <row r="201" customFormat="false" ht="15" hidden="false" customHeight="false" outlineLevel="0" collapsed="false">
      <c r="A201" s="29"/>
      <c r="B201" s="29"/>
      <c r="C201" s="31"/>
      <c r="D201" s="31"/>
      <c r="E201" s="35" t="str">
        <f aca="false">IF(OR(C201="",D201=""),"",MAX(1,D201-C201))</f>
        <v/>
      </c>
      <c r="F201" s="32"/>
      <c r="G201" s="36" t="str">
        <f aca="false">IF(B201="","",IFERROR(IF(N(INDEX(Fleet!$N$5:$N$79,MATCH(B201,Fleet!$A$5:$A$79,0)))&gt;0,INDEX(Fleet!$N$5:$N$79,MATCH(B201,Fleet!$A$5:$A$79,0)),Assumptions!$B$7),Assumptions!$B$7))</f>
        <v/>
      </c>
      <c r="H201" s="34" t="str">
        <f aca="false">IF(OR(F201="",G201=""),"",F201*G201)</f>
        <v/>
      </c>
      <c r="I201" s="32"/>
      <c r="J201" s="32"/>
      <c r="K201" s="37"/>
      <c r="L201" s="38" t="str">
        <f aca="false">IF(C201="","",DATE(YEAR(C201),MONTH(C201),1))</f>
        <v/>
      </c>
      <c r="M201" s="34" t="str">
        <f aca="false">IF(F201="","",N(H201)+N(I201)-N(J201))</f>
        <v/>
      </c>
      <c r="N201" s="29"/>
    </row>
    <row r="202" customFormat="false" ht="15" hidden="false" customHeight="false" outlineLevel="0" collapsed="false">
      <c r="A202" s="29"/>
      <c r="B202" s="29"/>
      <c r="C202" s="31"/>
      <c r="D202" s="31"/>
      <c r="E202" s="35" t="str">
        <f aca="false">IF(OR(C202="",D202=""),"",MAX(1,D202-C202))</f>
        <v/>
      </c>
      <c r="F202" s="32"/>
      <c r="G202" s="36" t="str">
        <f aca="false">IF(B202="","",IFERROR(IF(N(INDEX(Fleet!$N$5:$N$79,MATCH(B202,Fleet!$A$5:$A$79,0)))&gt;0,INDEX(Fleet!$N$5:$N$79,MATCH(B202,Fleet!$A$5:$A$79,0)),Assumptions!$B$7),Assumptions!$B$7))</f>
        <v/>
      </c>
      <c r="H202" s="34" t="str">
        <f aca="false">IF(OR(F202="",G202=""),"",F202*G202)</f>
        <v/>
      </c>
      <c r="I202" s="32"/>
      <c r="J202" s="32"/>
      <c r="K202" s="37"/>
      <c r="L202" s="38" t="str">
        <f aca="false">IF(C202="","",DATE(YEAR(C202),MONTH(C202),1))</f>
        <v/>
      </c>
      <c r="M202" s="34" t="str">
        <f aca="false">IF(F202="","",N(H202)+N(I202)-N(J202))</f>
        <v/>
      </c>
      <c r="N202" s="29"/>
    </row>
    <row r="203" customFormat="false" ht="15" hidden="false" customHeight="false" outlineLevel="0" collapsed="false">
      <c r="A203" s="29"/>
      <c r="B203" s="29"/>
      <c r="C203" s="31"/>
      <c r="D203" s="31"/>
      <c r="E203" s="35" t="str">
        <f aca="false">IF(OR(C203="",D203=""),"",MAX(1,D203-C203))</f>
        <v/>
      </c>
      <c r="F203" s="32"/>
      <c r="G203" s="36" t="str">
        <f aca="false">IF(B203="","",IFERROR(IF(N(INDEX(Fleet!$N$5:$N$79,MATCH(B203,Fleet!$A$5:$A$79,0)))&gt;0,INDEX(Fleet!$N$5:$N$79,MATCH(B203,Fleet!$A$5:$A$79,0)),Assumptions!$B$7),Assumptions!$B$7))</f>
        <v/>
      </c>
      <c r="H203" s="34" t="str">
        <f aca="false">IF(OR(F203="",G203=""),"",F203*G203)</f>
        <v/>
      </c>
      <c r="I203" s="32"/>
      <c r="J203" s="32"/>
      <c r="K203" s="37"/>
      <c r="L203" s="38" t="str">
        <f aca="false">IF(C203="","",DATE(YEAR(C203),MONTH(C203),1))</f>
        <v/>
      </c>
      <c r="M203" s="34" t="str">
        <f aca="false">IF(F203="","",N(H203)+N(I203)-N(J203))</f>
        <v/>
      </c>
      <c r="N203" s="29"/>
    </row>
    <row r="204" customFormat="false" ht="15" hidden="false" customHeight="false" outlineLevel="0" collapsed="false">
      <c r="A204" s="29"/>
      <c r="B204" s="29"/>
      <c r="C204" s="31"/>
      <c r="D204" s="31"/>
      <c r="E204" s="35" t="str">
        <f aca="false">IF(OR(C204="",D204=""),"",MAX(1,D204-C204))</f>
        <v/>
      </c>
      <c r="F204" s="32"/>
      <c r="G204" s="36" t="str">
        <f aca="false">IF(B204="","",IFERROR(IF(N(INDEX(Fleet!$N$5:$N$79,MATCH(B204,Fleet!$A$5:$A$79,0)))&gt;0,INDEX(Fleet!$N$5:$N$79,MATCH(B204,Fleet!$A$5:$A$79,0)),Assumptions!$B$7),Assumptions!$B$7))</f>
        <v/>
      </c>
      <c r="H204" s="34" t="str">
        <f aca="false">IF(OR(F204="",G204=""),"",F204*G204)</f>
        <v/>
      </c>
      <c r="I204" s="32"/>
      <c r="J204" s="32"/>
      <c r="K204" s="37"/>
      <c r="L204" s="38" t="str">
        <f aca="false">IF(C204="","",DATE(YEAR(C204),MONTH(C204),1))</f>
        <v/>
      </c>
      <c r="M204" s="34" t="str">
        <f aca="false">IF(F204="","",N(H204)+N(I204)-N(J204))</f>
        <v/>
      </c>
      <c r="N204" s="29"/>
    </row>
    <row r="205" customFormat="false" ht="15" hidden="false" customHeight="false" outlineLevel="0" collapsed="false">
      <c r="A205" s="29"/>
      <c r="B205" s="29"/>
      <c r="C205" s="31"/>
      <c r="D205" s="31"/>
      <c r="E205" s="35" t="str">
        <f aca="false">IF(OR(C205="",D205=""),"",MAX(1,D205-C205))</f>
        <v/>
      </c>
      <c r="F205" s="32"/>
      <c r="G205" s="36" t="str">
        <f aca="false">IF(B205="","",IFERROR(IF(N(INDEX(Fleet!$N$5:$N$79,MATCH(B205,Fleet!$A$5:$A$79,0)))&gt;0,INDEX(Fleet!$N$5:$N$79,MATCH(B205,Fleet!$A$5:$A$79,0)),Assumptions!$B$7),Assumptions!$B$7))</f>
        <v/>
      </c>
      <c r="H205" s="34" t="str">
        <f aca="false">IF(OR(F205="",G205=""),"",F205*G205)</f>
        <v/>
      </c>
      <c r="I205" s="32"/>
      <c r="J205" s="32"/>
      <c r="K205" s="37"/>
      <c r="L205" s="38" t="str">
        <f aca="false">IF(C205="","",DATE(YEAR(C205),MONTH(C205),1))</f>
        <v/>
      </c>
      <c r="M205" s="34" t="str">
        <f aca="false">IF(F205="","",N(H205)+N(I205)-N(J205))</f>
        <v/>
      </c>
      <c r="N205" s="29"/>
    </row>
    <row r="206" customFormat="false" ht="15" hidden="false" customHeight="false" outlineLevel="0" collapsed="false">
      <c r="A206" s="29"/>
      <c r="B206" s="29"/>
      <c r="C206" s="31"/>
      <c r="D206" s="31"/>
      <c r="E206" s="35" t="str">
        <f aca="false">IF(OR(C206="",D206=""),"",MAX(1,D206-C206))</f>
        <v/>
      </c>
      <c r="F206" s="32"/>
      <c r="G206" s="36" t="str">
        <f aca="false">IF(B206="","",IFERROR(IF(N(INDEX(Fleet!$N$5:$N$79,MATCH(B206,Fleet!$A$5:$A$79,0)))&gt;0,INDEX(Fleet!$N$5:$N$79,MATCH(B206,Fleet!$A$5:$A$79,0)),Assumptions!$B$7),Assumptions!$B$7))</f>
        <v/>
      </c>
      <c r="H206" s="34" t="str">
        <f aca="false">IF(OR(F206="",G206=""),"",F206*G206)</f>
        <v/>
      </c>
      <c r="I206" s="32"/>
      <c r="J206" s="32"/>
      <c r="K206" s="37"/>
      <c r="L206" s="38" t="str">
        <f aca="false">IF(C206="","",DATE(YEAR(C206),MONTH(C206),1))</f>
        <v/>
      </c>
      <c r="M206" s="34" t="str">
        <f aca="false">IF(F206="","",N(H206)+N(I206)-N(J206))</f>
        <v/>
      </c>
      <c r="N206" s="29"/>
    </row>
    <row r="207" customFormat="false" ht="15" hidden="false" customHeight="false" outlineLevel="0" collapsed="false">
      <c r="A207" s="29"/>
      <c r="B207" s="29"/>
      <c r="C207" s="31"/>
      <c r="D207" s="31"/>
      <c r="E207" s="35" t="str">
        <f aca="false">IF(OR(C207="",D207=""),"",MAX(1,D207-C207))</f>
        <v/>
      </c>
      <c r="F207" s="32"/>
      <c r="G207" s="36" t="str">
        <f aca="false">IF(B207="","",IFERROR(IF(N(INDEX(Fleet!$N$5:$N$79,MATCH(B207,Fleet!$A$5:$A$79,0)))&gt;0,INDEX(Fleet!$N$5:$N$79,MATCH(B207,Fleet!$A$5:$A$79,0)),Assumptions!$B$7),Assumptions!$B$7))</f>
        <v/>
      </c>
      <c r="H207" s="34" t="str">
        <f aca="false">IF(OR(F207="",G207=""),"",F207*G207)</f>
        <v/>
      </c>
      <c r="I207" s="32"/>
      <c r="J207" s="32"/>
      <c r="K207" s="37"/>
      <c r="L207" s="38" t="str">
        <f aca="false">IF(C207="","",DATE(YEAR(C207),MONTH(C207),1))</f>
        <v/>
      </c>
      <c r="M207" s="34" t="str">
        <f aca="false">IF(F207="","",N(H207)+N(I207)-N(J207))</f>
        <v/>
      </c>
      <c r="N207" s="29"/>
    </row>
    <row r="208" customFormat="false" ht="15" hidden="false" customHeight="false" outlineLevel="0" collapsed="false">
      <c r="A208" s="29"/>
      <c r="B208" s="29"/>
      <c r="C208" s="31"/>
      <c r="D208" s="31"/>
      <c r="E208" s="35" t="str">
        <f aca="false">IF(OR(C208="",D208=""),"",MAX(1,D208-C208))</f>
        <v/>
      </c>
      <c r="F208" s="32"/>
      <c r="G208" s="36" t="str">
        <f aca="false">IF(B208="","",IFERROR(IF(N(INDEX(Fleet!$N$5:$N$79,MATCH(B208,Fleet!$A$5:$A$79,0)))&gt;0,INDEX(Fleet!$N$5:$N$79,MATCH(B208,Fleet!$A$5:$A$79,0)),Assumptions!$B$7),Assumptions!$B$7))</f>
        <v/>
      </c>
      <c r="H208" s="34" t="str">
        <f aca="false">IF(OR(F208="",G208=""),"",F208*G208)</f>
        <v/>
      </c>
      <c r="I208" s="32"/>
      <c r="J208" s="32"/>
      <c r="K208" s="37"/>
      <c r="L208" s="38" t="str">
        <f aca="false">IF(C208="","",DATE(YEAR(C208),MONTH(C208),1))</f>
        <v/>
      </c>
      <c r="M208" s="34" t="str">
        <f aca="false">IF(F208="","",N(H208)+N(I208)-N(J208))</f>
        <v/>
      </c>
      <c r="N208" s="29"/>
    </row>
    <row r="209" customFormat="false" ht="15" hidden="false" customHeight="false" outlineLevel="0" collapsed="false">
      <c r="A209" s="29"/>
      <c r="B209" s="29"/>
      <c r="C209" s="31"/>
      <c r="D209" s="31"/>
      <c r="E209" s="35" t="str">
        <f aca="false">IF(OR(C209="",D209=""),"",MAX(1,D209-C209))</f>
        <v/>
      </c>
      <c r="F209" s="32"/>
      <c r="G209" s="36" t="str">
        <f aca="false">IF(B209="","",IFERROR(IF(N(INDEX(Fleet!$N$5:$N$79,MATCH(B209,Fleet!$A$5:$A$79,0)))&gt;0,INDEX(Fleet!$N$5:$N$79,MATCH(B209,Fleet!$A$5:$A$79,0)),Assumptions!$B$7),Assumptions!$B$7))</f>
        <v/>
      </c>
      <c r="H209" s="34" t="str">
        <f aca="false">IF(OR(F209="",G209=""),"",F209*G209)</f>
        <v/>
      </c>
      <c r="I209" s="32"/>
      <c r="J209" s="32"/>
      <c r="K209" s="37"/>
      <c r="L209" s="38" t="str">
        <f aca="false">IF(C209="","",DATE(YEAR(C209),MONTH(C209),1))</f>
        <v/>
      </c>
      <c r="M209" s="34" t="str">
        <f aca="false">IF(F209="","",N(H209)+N(I209)-N(J209))</f>
        <v/>
      </c>
      <c r="N209" s="29"/>
    </row>
    <row r="210" customFormat="false" ht="15" hidden="false" customHeight="false" outlineLevel="0" collapsed="false">
      <c r="A210" s="29"/>
      <c r="B210" s="29"/>
      <c r="C210" s="31"/>
      <c r="D210" s="31"/>
      <c r="E210" s="35" t="str">
        <f aca="false">IF(OR(C210="",D210=""),"",MAX(1,D210-C210))</f>
        <v/>
      </c>
      <c r="F210" s="32"/>
      <c r="G210" s="36" t="str">
        <f aca="false">IF(B210="","",IFERROR(IF(N(INDEX(Fleet!$N$5:$N$79,MATCH(B210,Fleet!$A$5:$A$79,0)))&gt;0,INDEX(Fleet!$N$5:$N$79,MATCH(B210,Fleet!$A$5:$A$79,0)),Assumptions!$B$7),Assumptions!$B$7))</f>
        <v/>
      </c>
      <c r="H210" s="34" t="str">
        <f aca="false">IF(OR(F210="",G210=""),"",F210*G210)</f>
        <v/>
      </c>
      <c r="I210" s="32"/>
      <c r="J210" s="32"/>
      <c r="K210" s="37"/>
      <c r="L210" s="38" t="str">
        <f aca="false">IF(C210="","",DATE(YEAR(C210),MONTH(C210),1))</f>
        <v/>
      </c>
      <c r="M210" s="34" t="str">
        <f aca="false">IF(F210="","",N(H210)+N(I210)-N(J210))</f>
        <v/>
      </c>
      <c r="N210" s="29"/>
    </row>
    <row r="211" customFormat="false" ht="15" hidden="false" customHeight="false" outlineLevel="0" collapsed="false">
      <c r="A211" s="29"/>
      <c r="B211" s="29"/>
      <c r="C211" s="31"/>
      <c r="D211" s="31"/>
      <c r="E211" s="35" t="str">
        <f aca="false">IF(OR(C211="",D211=""),"",MAX(1,D211-C211))</f>
        <v/>
      </c>
      <c r="F211" s="32"/>
      <c r="G211" s="36" t="str">
        <f aca="false">IF(B211="","",IFERROR(IF(N(INDEX(Fleet!$N$5:$N$79,MATCH(B211,Fleet!$A$5:$A$79,0)))&gt;0,INDEX(Fleet!$N$5:$N$79,MATCH(B211,Fleet!$A$5:$A$79,0)),Assumptions!$B$7),Assumptions!$B$7))</f>
        <v/>
      </c>
      <c r="H211" s="34" t="str">
        <f aca="false">IF(OR(F211="",G211=""),"",F211*G211)</f>
        <v/>
      </c>
      <c r="I211" s="32"/>
      <c r="J211" s="32"/>
      <c r="K211" s="37"/>
      <c r="L211" s="38" t="str">
        <f aca="false">IF(C211="","",DATE(YEAR(C211),MONTH(C211),1))</f>
        <v/>
      </c>
      <c r="M211" s="34" t="str">
        <f aca="false">IF(F211="","",N(H211)+N(I211)-N(J211))</f>
        <v/>
      </c>
      <c r="N211" s="29"/>
    </row>
    <row r="212" customFormat="false" ht="15" hidden="false" customHeight="false" outlineLevel="0" collapsed="false">
      <c r="A212" s="29"/>
      <c r="B212" s="29"/>
      <c r="C212" s="31"/>
      <c r="D212" s="31"/>
      <c r="E212" s="35" t="str">
        <f aca="false">IF(OR(C212="",D212=""),"",MAX(1,D212-C212))</f>
        <v/>
      </c>
      <c r="F212" s="32"/>
      <c r="G212" s="36" t="str">
        <f aca="false">IF(B212="","",IFERROR(IF(N(INDEX(Fleet!$N$5:$N$79,MATCH(B212,Fleet!$A$5:$A$79,0)))&gt;0,INDEX(Fleet!$N$5:$N$79,MATCH(B212,Fleet!$A$5:$A$79,0)),Assumptions!$B$7),Assumptions!$B$7))</f>
        <v/>
      </c>
      <c r="H212" s="34" t="str">
        <f aca="false">IF(OR(F212="",G212=""),"",F212*G212)</f>
        <v/>
      </c>
      <c r="I212" s="32"/>
      <c r="J212" s="32"/>
      <c r="K212" s="37"/>
      <c r="L212" s="38" t="str">
        <f aca="false">IF(C212="","",DATE(YEAR(C212),MONTH(C212),1))</f>
        <v/>
      </c>
      <c r="M212" s="34" t="str">
        <f aca="false">IF(F212="","",N(H212)+N(I212)-N(J212))</f>
        <v/>
      </c>
      <c r="N212" s="29"/>
    </row>
    <row r="213" customFormat="false" ht="15" hidden="false" customHeight="false" outlineLevel="0" collapsed="false">
      <c r="A213" s="29"/>
      <c r="B213" s="29"/>
      <c r="C213" s="31"/>
      <c r="D213" s="31"/>
      <c r="E213" s="35" t="str">
        <f aca="false">IF(OR(C213="",D213=""),"",MAX(1,D213-C213))</f>
        <v/>
      </c>
      <c r="F213" s="32"/>
      <c r="G213" s="36" t="str">
        <f aca="false">IF(B213="","",IFERROR(IF(N(INDEX(Fleet!$N$5:$N$79,MATCH(B213,Fleet!$A$5:$A$79,0)))&gt;0,INDEX(Fleet!$N$5:$N$79,MATCH(B213,Fleet!$A$5:$A$79,0)),Assumptions!$B$7),Assumptions!$B$7))</f>
        <v/>
      </c>
      <c r="H213" s="34" t="str">
        <f aca="false">IF(OR(F213="",G213=""),"",F213*G213)</f>
        <v/>
      </c>
      <c r="I213" s="32"/>
      <c r="J213" s="32"/>
      <c r="K213" s="37"/>
      <c r="L213" s="38" t="str">
        <f aca="false">IF(C213="","",DATE(YEAR(C213),MONTH(C213),1))</f>
        <v/>
      </c>
      <c r="M213" s="34" t="str">
        <f aca="false">IF(F213="","",N(H213)+N(I213)-N(J213))</f>
        <v/>
      </c>
      <c r="N213" s="29"/>
    </row>
    <row r="214" customFormat="false" ht="15" hidden="false" customHeight="false" outlineLevel="0" collapsed="false">
      <c r="A214" s="29"/>
      <c r="B214" s="29"/>
      <c r="C214" s="31"/>
      <c r="D214" s="31"/>
      <c r="E214" s="35" t="str">
        <f aca="false">IF(OR(C214="",D214=""),"",MAX(1,D214-C214))</f>
        <v/>
      </c>
      <c r="F214" s="32"/>
      <c r="G214" s="36" t="str">
        <f aca="false">IF(B214="","",IFERROR(IF(N(INDEX(Fleet!$N$5:$N$79,MATCH(B214,Fleet!$A$5:$A$79,0)))&gt;0,INDEX(Fleet!$N$5:$N$79,MATCH(B214,Fleet!$A$5:$A$79,0)),Assumptions!$B$7),Assumptions!$B$7))</f>
        <v/>
      </c>
      <c r="H214" s="34" t="str">
        <f aca="false">IF(OR(F214="",G214=""),"",F214*G214)</f>
        <v/>
      </c>
      <c r="I214" s="32"/>
      <c r="J214" s="32"/>
      <c r="K214" s="37"/>
      <c r="L214" s="38" t="str">
        <f aca="false">IF(C214="","",DATE(YEAR(C214),MONTH(C214),1))</f>
        <v/>
      </c>
      <c r="M214" s="34" t="str">
        <f aca="false">IF(F214="","",N(H214)+N(I214)-N(J214))</f>
        <v/>
      </c>
      <c r="N214" s="29"/>
    </row>
    <row r="215" customFormat="false" ht="15" hidden="false" customHeight="false" outlineLevel="0" collapsed="false">
      <c r="A215" s="29"/>
      <c r="B215" s="29"/>
      <c r="C215" s="31"/>
      <c r="D215" s="31"/>
      <c r="E215" s="35" t="str">
        <f aca="false">IF(OR(C215="",D215=""),"",MAX(1,D215-C215))</f>
        <v/>
      </c>
      <c r="F215" s="32"/>
      <c r="G215" s="36" t="str">
        <f aca="false">IF(B215="","",IFERROR(IF(N(INDEX(Fleet!$N$5:$N$79,MATCH(B215,Fleet!$A$5:$A$79,0)))&gt;0,INDEX(Fleet!$N$5:$N$79,MATCH(B215,Fleet!$A$5:$A$79,0)),Assumptions!$B$7),Assumptions!$B$7))</f>
        <v/>
      </c>
      <c r="H215" s="34" t="str">
        <f aca="false">IF(OR(F215="",G215=""),"",F215*G215)</f>
        <v/>
      </c>
      <c r="I215" s="32"/>
      <c r="J215" s="32"/>
      <c r="K215" s="37"/>
      <c r="L215" s="38" t="str">
        <f aca="false">IF(C215="","",DATE(YEAR(C215),MONTH(C215),1))</f>
        <v/>
      </c>
      <c r="M215" s="34" t="str">
        <f aca="false">IF(F215="","",N(H215)+N(I215)-N(J215))</f>
        <v/>
      </c>
      <c r="N215" s="29"/>
    </row>
    <row r="216" customFormat="false" ht="15" hidden="false" customHeight="false" outlineLevel="0" collapsed="false">
      <c r="A216" s="29"/>
      <c r="B216" s="29"/>
      <c r="C216" s="31"/>
      <c r="D216" s="31"/>
      <c r="E216" s="35" t="str">
        <f aca="false">IF(OR(C216="",D216=""),"",MAX(1,D216-C216))</f>
        <v/>
      </c>
      <c r="F216" s="32"/>
      <c r="G216" s="36" t="str">
        <f aca="false">IF(B216="","",IFERROR(IF(N(INDEX(Fleet!$N$5:$N$79,MATCH(B216,Fleet!$A$5:$A$79,0)))&gt;0,INDEX(Fleet!$N$5:$N$79,MATCH(B216,Fleet!$A$5:$A$79,0)),Assumptions!$B$7),Assumptions!$B$7))</f>
        <v/>
      </c>
      <c r="H216" s="34" t="str">
        <f aca="false">IF(OR(F216="",G216=""),"",F216*G216)</f>
        <v/>
      </c>
      <c r="I216" s="32"/>
      <c r="J216" s="32"/>
      <c r="K216" s="37"/>
      <c r="L216" s="38" t="str">
        <f aca="false">IF(C216="","",DATE(YEAR(C216),MONTH(C216),1))</f>
        <v/>
      </c>
      <c r="M216" s="34" t="str">
        <f aca="false">IF(F216="","",N(H216)+N(I216)-N(J216))</f>
        <v/>
      </c>
      <c r="N216" s="29"/>
    </row>
    <row r="217" customFormat="false" ht="15" hidden="false" customHeight="false" outlineLevel="0" collapsed="false">
      <c r="A217" s="29"/>
      <c r="B217" s="29"/>
      <c r="C217" s="31"/>
      <c r="D217" s="31"/>
      <c r="E217" s="35" t="str">
        <f aca="false">IF(OR(C217="",D217=""),"",MAX(1,D217-C217))</f>
        <v/>
      </c>
      <c r="F217" s="32"/>
      <c r="G217" s="36" t="str">
        <f aca="false">IF(B217="","",IFERROR(IF(N(INDEX(Fleet!$N$5:$N$79,MATCH(B217,Fleet!$A$5:$A$79,0)))&gt;0,INDEX(Fleet!$N$5:$N$79,MATCH(B217,Fleet!$A$5:$A$79,0)),Assumptions!$B$7),Assumptions!$B$7))</f>
        <v/>
      </c>
      <c r="H217" s="34" t="str">
        <f aca="false">IF(OR(F217="",G217=""),"",F217*G217)</f>
        <v/>
      </c>
      <c r="I217" s="32"/>
      <c r="J217" s="32"/>
      <c r="K217" s="37"/>
      <c r="L217" s="38" t="str">
        <f aca="false">IF(C217="","",DATE(YEAR(C217),MONTH(C217),1))</f>
        <v/>
      </c>
      <c r="M217" s="34" t="str">
        <f aca="false">IF(F217="","",N(H217)+N(I217)-N(J217))</f>
        <v/>
      </c>
      <c r="N217" s="29"/>
    </row>
    <row r="218" customFormat="false" ht="15" hidden="false" customHeight="false" outlineLevel="0" collapsed="false">
      <c r="A218" s="29"/>
      <c r="B218" s="29"/>
      <c r="C218" s="31"/>
      <c r="D218" s="31"/>
      <c r="E218" s="35" t="str">
        <f aca="false">IF(OR(C218="",D218=""),"",MAX(1,D218-C218))</f>
        <v/>
      </c>
      <c r="F218" s="32"/>
      <c r="G218" s="36" t="str">
        <f aca="false">IF(B218="","",IFERROR(IF(N(INDEX(Fleet!$N$5:$N$79,MATCH(B218,Fleet!$A$5:$A$79,0)))&gt;0,INDEX(Fleet!$N$5:$N$79,MATCH(B218,Fleet!$A$5:$A$79,0)),Assumptions!$B$7),Assumptions!$B$7))</f>
        <v/>
      </c>
      <c r="H218" s="34" t="str">
        <f aca="false">IF(OR(F218="",G218=""),"",F218*G218)</f>
        <v/>
      </c>
      <c r="I218" s="32"/>
      <c r="J218" s="32"/>
      <c r="K218" s="37"/>
      <c r="L218" s="38" t="str">
        <f aca="false">IF(C218="","",DATE(YEAR(C218),MONTH(C218),1))</f>
        <v/>
      </c>
      <c r="M218" s="34" t="str">
        <f aca="false">IF(F218="","",N(H218)+N(I218)-N(J218))</f>
        <v/>
      </c>
      <c r="N218" s="29"/>
    </row>
    <row r="219" customFormat="false" ht="15" hidden="false" customHeight="false" outlineLevel="0" collapsed="false">
      <c r="A219" s="29"/>
      <c r="B219" s="29"/>
      <c r="C219" s="31"/>
      <c r="D219" s="31"/>
      <c r="E219" s="35" t="str">
        <f aca="false">IF(OR(C219="",D219=""),"",MAX(1,D219-C219))</f>
        <v/>
      </c>
      <c r="F219" s="32"/>
      <c r="G219" s="36" t="str">
        <f aca="false">IF(B219="","",IFERROR(IF(N(INDEX(Fleet!$N$5:$N$79,MATCH(B219,Fleet!$A$5:$A$79,0)))&gt;0,INDEX(Fleet!$N$5:$N$79,MATCH(B219,Fleet!$A$5:$A$79,0)),Assumptions!$B$7),Assumptions!$B$7))</f>
        <v/>
      </c>
      <c r="H219" s="34" t="str">
        <f aca="false">IF(OR(F219="",G219=""),"",F219*G219)</f>
        <v/>
      </c>
      <c r="I219" s="32"/>
      <c r="J219" s="32"/>
      <c r="K219" s="37"/>
      <c r="L219" s="38" t="str">
        <f aca="false">IF(C219="","",DATE(YEAR(C219),MONTH(C219),1))</f>
        <v/>
      </c>
      <c r="M219" s="34" t="str">
        <f aca="false">IF(F219="","",N(H219)+N(I219)-N(J219))</f>
        <v/>
      </c>
      <c r="N219" s="29"/>
    </row>
    <row r="220" customFormat="false" ht="15" hidden="false" customHeight="false" outlineLevel="0" collapsed="false">
      <c r="A220" s="29"/>
      <c r="B220" s="29"/>
      <c r="C220" s="31"/>
      <c r="D220" s="31"/>
      <c r="E220" s="35" t="str">
        <f aca="false">IF(OR(C220="",D220=""),"",MAX(1,D220-C220))</f>
        <v/>
      </c>
      <c r="F220" s="32"/>
      <c r="G220" s="36" t="str">
        <f aca="false">IF(B220="","",IFERROR(IF(N(INDEX(Fleet!$N$5:$N$79,MATCH(B220,Fleet!$A$5:$A$79,0)))&gt;0,INDEX(Fleet!$N$5:$N$79,MATCH(B220,Fleet!$A$5:$A$79,0)),Assumptions!$B$7),Assumptions!$B$7))</f>
        <v/>
      </c>
      <c r="H220" s="34" t="str">
        <f aca="false">IF(OR(F220="",G220=""),"",F220*G220)</f>
        <v/>
      </c>
      <c r="I220" s="32"/>
      <c r="J220" s="32"/>
      <c r="K220" s="37"/>
      <c r="L220" s="38" t="str">
        <f aca="false">IF(C220="","",DATE(YEAR(C220),MONTH(C220),1))</f>
        <v/>
      </c>
      <c r="M220" s="34" t="str">
        <f aca="false">IF(F220="","",N(H220)+N(I220)-N(J220))</f>
        <v/>
      </c>
      <c r="N220" s="29"/>
    </row>
    <row r="221" customFormat="false" ht="15" hidden="false" customHeight="false" outlineLevel="0" collapsed="false">
      <c r="A221" s="29"/>
      <c r="B221" s="29"/>
      <c r="C221" s="31"/>
      <c r="D221" s="31"/>
      <c r="E221" s="35" t="str">
        <f aca="false">IF(OR(C221="",D221=""),"",MAX(1,D221-C221))</f>
        <v/>
      </c>
      <c r="F221" s="32"/>
      <c r="G221" s="36" t="str">
        <f aca="false">IF(B221="","",IFERROR(IF(N(INDEX(Fleet!$N$5:$N$79,MATCH(B221,Fleet!$A$5:$A$79,0)))&gt;0,INDEX(Fleet!$N$5:$N$79,MATCH(B221,Fleet!$A$5:$A$79,0)),Assumptions!$B$7),Assumptions!$B$7))</f>
        <v/>
      </c>
      <c r="H221" s="34" t="str">
        <f aca="false">IF(OR(F221="",G221=""),"",F221*G221)</f>
        <v/>
      </c>
      <c r="I221" s="32"/>
      <c r="J221" s="32"/>
      <c r="K221" s="37"/>
      <c r="L221" s="38" t="str">
        <f aca="false">IF(C221="","",DATE(YEAR(C221),MONTH(C221),1))</f>
        <v/>
      </c>
      <c r="M221" s="34" t="str">
        <f aca="false">IF(F221="","",N(H221)+N(I221)-N(J221))</f>
        <v/>
      </c>
      <c r="N221" s="29"/>
    </row>
    <row r="222" customFormat="false" ht="15" hidden="false" customHeight="false" outlineLevel="0" collapsed="false">
      <c r="A222" s="29"/>
      <c r="B222" s="29"/>
      <c r="C222" s="31"/>
      <c r="D222" s="31"/>
      <c r="E222" s="35" t="str">
        <f aca="false">IF(OR(C222="",D222=""),"",MAX(1,D222-C222))</f>
        <v/>
      </c>
      <c r="F222" s="32"/>
      <c r="G222" s="36" t="str">
        <f aca="false">IF(B222="","",IFERROR(IF(N(INDEX(Fleet!$N$5:$N$79,MATCH(B222,Fleet!$A$5:$A$79,0)))&gt;0,INDEX(Fleet!$N$5:$N$79,MATCH(B222,Fleet!$A$5:$A$79,0)),Assumptions!$B$7),Assumptions!$B$7))</f>
        <v/>
      </c>
      <c r="H222" s="34" t="str">
        <f aca="false">IF(OR(F222="",G222=""),"",F222*G222)</f>
        <v/>
      </c>
      <c r="I222" s="32"/>
      <c r="J222" s="32"/>
      <c r="K222" s="37"/>
      <c r="L222" s="38" t="str">
        <f aca="false">IF(C222="","",DATE(YEAR(C222),MONTH(C222),1))</f>
        <v/>
      </c>
      <c r="M222" s="34" t="str">
        <f aca="false">IF(F222="","",N(H222)+N(I222)-N(J222))</f>
        <v/>
      </c>
      <c r="N222" s="29"/>
    </row>
    <row r="223" customFormat="false" ht="15" hidden="false" customHeight="false" outlineLevel="0" collapsed="false">
      <c r="A223" s="29"/>
      <c r="B223" s="29"/>
      <c r="C223" s="31"/>
      <c r="D223" s="31"/>
      <c r="E223" s="35" t="str">
        <f aca="false">IF(OR(C223="",D223=""),"",MAX(1,D223-C223))</f>
        <v/>
      </c>
      <c r="F223" s="32"/>
      <c r="G223" s="36" t="str">
        <f aca="false">IF(B223="","",IFERROR(IF(N(INDEX(Fleet!$N$5:$N$79,MATCH(B223,Fleet!$A$5:$A$79,0)))&gt;0,INDEX(Fleet!$N$5:$N$79,MATCH(B223,Fleet!$A$5:$A$79,0)),Assumptions!$B$7),Assumptions!$B$7))</f>
        <v/>
      </c>
      <c r="H223" s="34" t="str">
        <f aca="false">IF(OR(F223="",G223=""),"",F223*G223)</f>
        <v/>
      </c>
      <c r="I223" s="32"/>
      <c r="J223" s="32"/>
      <c r="K223" s="37"/>
      <c r="L223" s="38" t="str">
        <f aca="false">IF(C223="","",DATE(YEAR(C223),MONTH(C223),1))</f>
        <v/>
      </c>
      <c r="M223" s="34" t="str">
        <f aca="false">IF(F223="","",N(H223)+N(I223)-N(J223))</f>
        <v/>
      </c>
      <c r="N223" s="29"/>
    </row>
    <row r="224" customFormat="false" ht="15" hidden="false" customHeight="false" outlineLevel="0" collapsed="false">
      <c r="A224" s="29"/>
      <c r="B224" s="29"/>
      <c r="C224" s="31"/>
      <c r="D224" s="31"/>
      <c r="E224" s="35" t="str">
        <f aca="false">IF(OR(C224="",D224=""),"",MAX(1,D224-C224))</f>
        <v/>
      </c>
      <c r="F224" s="32"/>
      <c r="G224" s="36" t="str">
        <f aca="false">IF(B224="","",IFERROR(IF(N(INDEX(Fleet!$N$5:$N$79,MATCH(B224,Fleet!$A$5:$A$79,0)))&gt;0,INDEX(Fleet!$N$5:$N$79,MATCH(B224,Fleet!$A$5:$A$79,0)),Assumptions!$B$7),Assumptions!$B$7))</f>
        <v/>
      </c>
      <c r="H224" s="34" t="str">
        <f aca="false">IF(OR(F224="",G224=""),"",F224*G224)</f>
        <v/>
      </c>
      <c r="I224" s="32"/>
      <c r="J224" s="32"/>
      <c r="K224" s="37"/>
      <c r="L224" s="38" t="str">
        <f aca="false">IF(C224="","",DATE(YEAR(C224),MONTH(C224),1))</f>
        <v/>
      </c>
      <c r="M224" s="34" t="str">
        <f aca="false">IF(F224="","",N(H224)+N(I224)-N(J224))</f>
        <v/>
      </c>
      <c r="N224" s="29"/>
    </row>
    <row r="225" customFormat="false" ht="15" hidden="false" customHeight="false" outlineLevel="0" collapsed="false">
      <c r="A225" s="29"/>
      <c r="B225" s="29"/>
      <c r="C225" s="31"/>
      <c r="D225" s="31"/>
      <c r="E225" s="35" t="str">
        <f aca="false">IF(OR(C225="",D225=""),"",MAX(1,D225-C225))</f>
        <v/>
      </c>
      <c r="F225" s="32"/>
      <c r="G225" s="36" t="str">
        <f aca="false">IF(B225="","",IFERROR(IF(N(INDEX(Fleet!$N$5:$N$79,MATCH(B225,Fleet!$A$5:$A$79,0)))&gt;0,INDEX(Fleet!$N$5:$N$79,MATCH(B225,Fleet!$A$5:$A$79,0)),Assumptions!$B$7),Assumptions!$B$7))</f>
        <v/>
      </c>
      <c r="H225" s="34" t="str">
        <f aca="false">IF(OR(F225="",G225=""),"",F225*G225)</f>
        <v/>
      </c>
      <c r="I225" s="32"/>
      <c r="J225" s="32"/>
      <c r="K225" s="37"/>
      <c r="L225" s="38" t="str">
        <f aca="false">IF(C225="","",DATE(YEAR(C225),MONTH(C225),1))</f>
        <v/>
      </c>
      <c r="M225" s="34" t="str">
        <f aca="false">IF(F225="","",N(H225)+N(I225)-N(J225))</f>
        <v/>
      </c>
      <c r="N225" s="29"/>
    </row>
    <row r="226" customFormat="false" ht="15" hidden="false" customHeight="false" outlineLevel="0" collapsed="false">
      <c r="A226" s="29"/>
      <c r="B226" s="29"/>
      <c r="C226" s="31"/>
      <c r="D226" s="31"/>
      <c r="E226" s="35" t="str">
        <f aca="false">IF(OR(C226="",D226=""),"",MAX(1,D226-C226))</f>
        <v/>
      </c>
      <c r="F226" s="32"/>
      <c r="G226" s="36" t="str">
        <f aca="false">IF(B226="","",IFERROR(IF(N(INDEX(Fleet!$N$5:$N$79,MATCH(B226,Fleet!$A$5:$A$79,0)))&gt;0,INDEX(Fleet!$N$5:$N$79,MATCH(B226,Fleet!$A$5:$A$79,0)),Assumptions!$B$7),Assumptions!$B$7))</f>
        <v/>
      </c>
      <c r="H226" s="34" t="str">
        <f aca="false">IF(OR(F226="",G226=""),"",F226*G226)</f>
        <v/>
      </c>
      <c r="I226" s="32"/>
      <c r="J226" s="32"/>
      <c r="K226" s="37"/>
      <c r="L226" s="38" t="str">
        <f aca="false">IF(C226="","",DATE(YEAR(C226),MONTH(C226),1))</f>
        <v/>
      </c>
      <c r="M226" s="34" t="str">
        <f aca="false">IF(F226="","",N(H226)+N(I226)-N(J226))</f>
        <v/>
      </c>
      <c r="N226" s="29"/>
    </row>
    <row r="227" customFormat="false" ht="15" hidden="false" customHeight="false" outlineLevel="0" collapsed="false">
      <c r="A227" s="29"/>
      <c r="B227" s="29"/>
      <c r="C227" s="31"/>
      <c r="D227" s="31"/>
      <c r="E227" s="35" t="str">
        <f aca="false">IF(OR(C227="",D227=""),"",MAX(1,D227-C227))</f>
        <v/>
      </c>
      <c r="F227" s="32"/>
      <c r="G227" s="36" t="str">
        <f aca="false">IF(B227="","",IFERROR(IF(N(INDEX(Fleet!$N$5:$N$79,MATCH(B227,Fleet!$A$5:$A$79,0)))&gt;0,INDEX(Fleet!$N$5:$N$79,MATCH(B227,Fleet!$A$5:$A$79,0)),Assumptions!$B$7),Assumptions!$B$7))</f>
        <v/>
      </c>
      <c r="H227" s="34" t="str">
        <f aca="false">IF(OR(F227="",G227=""),"",F227*G227)</f>
        <v/>
      </c>
      <c r="I227" s="32"/>
      <c r="J227" s="32"/>
      <c r="K227" s="37"/>
      <c r="L227" s="38" t="str">
        <f aca="false">IF(C227="","",DATE(YEAR(C227),MONTH(C227),1))</f>
        <v/>
      </c>
      <c r="M227" s="34" t="str">
        <f aca="false">IF(F227="","",N(H227)+N(I227)-N(J227))</f>
        <v/>
      </c>
      <c r="N227" s="29"/>
    </row>
    <row r="228" customFormat="false" ht="15" hidden="false" customHeight="false" outlineLevel="0" collapsed="false">
      <c r="A228" s="29"/>
      <c r="B228" s="29"/>
      <c r="C228" s="31"/>
      <c r="D228" s="31"/>
      <c r="E228" s="35" t="str">
        <f aca="false">IF(OR(C228="",D228=""),"",MAX(1,D228-C228))</f>
        <v/>
      </c>
      <c r="F228" s="32"/>
      <c r="G228" s="36" t="str">
        <f aca="false">IF(B228="","",IFERROR(IF(N(INDEX(Fleet!$N$5:$N$79,MATCH(B228,Fleet!$A$5:$A$79,0)))&gt;0,INDEX(Fleet!$N$5:$N$79,MATCH(B228,Fleet!$A$5:$A$79,0)),Assumptions!$B$7),Assumptions!$B$7))</f>
        <v/>
      </c>
      <c r="H228" s="34" t="str">
        <f aca="false">IF(OR(F228="",G228=""),"",F228*G228)</f>
        <v/>
      </c>
      <c r="I228" s="32"/>
      <c r="J228" s="32"/>
      <c r="K228" s="37"/>
      <c r="L228" s="38" t="str">
        <f aca="false">IF(C228="","",DATE(YEAR(C228),MONTH(C228),1))</f>
        <v/>
      </c>
      <c r="M228" s="34" t="str">
        <f aca="false">IF(F228="","",N(H228)+N(I228)-N(J228))</f>
        <v/>
      </c>
      <c r="N228" s="29"/>
    </row>
    <row r="229" customFormat="false" ht="15" hidden="false" customHeight="false" outlineLevel="0" collapsed="false">
      <c r="A229" s="29"/>
      <c r="B229" s="29"/>
      <c r="C229" s="31"/>
      <c r="D229" s="31"/>
      <c r="E229" s="35" t="str">
        <f aca="false">IF(OR(C229="",D229=""),"",MAX(1,D229-C229))</f>
        <v/>
      </c>
      <c r="F229" s="32"/>
      <c r="G229" s="36" t="str">
        <f aca="false">IF(B229="","",IFERROR(IF(N(INDEX(Fleet!$N$5:$N$79,MATCH(B229,Fleet!$A$5:$A$79,0)))&gt;0,INDEX(Fleet!$N$5:$N$79,MATCH(B229,Fleet!$A$5:$A$79,0)),Assumptions!$B$7),Assumptions!$B$7))</f>
        <v/>
      </c>
      <c r="H229" s="34" t="str">
        <f aca="false">IF(OR(F229="",G229=""),"",F229*G229)</f>
        <v/>
      </c>
      <c r="I229" s="32"/>
      <c r="J229" s="32"/>
      <c r="K229" s="37"/>
      <c r="L229" s="38" t="str">
        <f aca="false">IF(C229="","",DATE(YEAR(C229),MONTH(C229),1))</f>
        <v/>
      </c>
      <c r="M229" s="34" t="str">
        <f aca="false">IF(F229="","",N(H229)+N(I229)-N(J229))</f>
        <v/>
      </c>
      <c r="N229" s="29"/>
    </row>
    <row r="230" customFormat="false" ht="15" hidden="false" customHeight="false" outlineLevel="0" collapsed="false">
      <c r="A230" s="29"/>
      <c r="B230" s="29"/>
      <c r="C230" s="31"/>
      <c r="D230" s="31"/>
      <c r="E230" s="35" t="str">
        <f aca="false">IF(OR(C230="",D230=""),"",MAX(1,D230-C230))</f>
        <v/>
      </c>
      <c r="F230" s="32"/>
      <c r="G230" s="36" t="str">
        <f aca="false">IF(B230="","",IFERROR(IF(N(INDEX(Fleet!$N$5:$N$79,MATCH(B230,Fleet!$A$5:$A$79,0)))&gt;0,INDEX(Fleet!$N$5:$N$79,MATCH(B230,Fleet!$A$5:$A$79,0)),Assumptions!$B$7),Assumptions!$B$7))</f>
        <v/>
      </c>
      <c r="H230" s="34" t="str">
        <f aca="false">IF(OR(F230="",G230=""),"",F230*G230)</f>
        <v/>
      </c>
      <c r="I230" s="32"/>
      <c r="J230" s="32"/>
      <c r="K230" s="37"/>
      <c r="L230" s="38" t="str">
        <f aca="false">IF(C230="","",DATE(YEAR(C230),MONTH(C230),1))</f>
        <v/>
      </c>
      <c r="M230" s="34" t="str">
        <f aca="false">IF(F230="","",N(H230)+N(I230)-N(J230))</f>
        <v/>
      </c>
      <c r="N230" s="29"/>
    </row>
    <row r="231" customFormat="false" ht="15" hidden="false" customHeight="false" outlineLevel="0" collapsed="false">
      <c r="A231" s="29"/>
      <c r="B231" s="29"/>
      <c r="C231" s="31"/>
      <c r="D231" s="31"/>
      <c r="E231" s="35" t="str">
        <f aca="false">IF(OR(C231="",D231=""),"",MAX(1,D231-C231))</f>
        <v/>
      </c>
      <c r="F231" s="32"/>
      <c r="G231" s="36" t="str">
        <f aca="false">IF(B231="","",IFERROR(IF(N(INDEX(Fleet!$N$5:$N$79,MATCH(B231,Fleet!$A$5:$A$79,0)))&gt;0,INDEX(Fleet!$N$5:$N$79,MATCH(B231,Fleet!$A$5:$A$79,0)),Assumptions!$B$7),Assumptions!$B$7))</f>
        <v/>
      </c>
      <c r="H231" s="34" t="str">
        <f aca="false">IF(OR(F231="",G231=""),"",F231*G231)</f>
        <v/>
      </c>
      <c r="I231" s="32"/>
      <c r="J231" s="32"/>
      <c r="K231" s="37"/>
      <c r="L231" s="38" t="str">
        <f aca="false">IF(C231="","",DATE(YEAR(C231),MONTH(C231),1))</f>
        <v/>
      </c>
      <c r="M231" s="34" t="str">
        <f aca="false">IF(F231="","",N(H231)+N(I231)-N(J231))</f>
        <v/>
      </c>
      <c r="N231" s="29"/>
    </row>
    <row r="232" customFormat="false" ht="15" hidden="false" customHeight="false" outlineLevel="0" collapsed="false">
      <c r="A232" s="29"/>
      <c r="B232" s="29"/>
      <c r="C232" s="31"/>
      <c r="D232" s="31"/>
      <c r="E232" s="35" t="str">
        <f aca="false">IF(OR(C232="",D232=""),"",MAX(1,D232-C232))</f>
        <v/>
      </c>
      <c r="F232" s="32"/>
      <c r="G232" s="36" t="str">
        <f aca="false">IF(B232="","",IFERROR(IF(N(INDEX(Fleet!$N$5:$N$79,MATCH(B232,Fleet!$A$5:$A$79,0)))&gt;0,INDEX(Fleet!$N$5:$N$79,MATCH(B232,Fleet!$A$5:$A$79,0)),Assumptions!$B$7),Assumptions!$B$7))</f>
        <v/>
      </c>
      <c r="H232" s="34" t="str">
        <f aca="false">IF(OR(F232="",G232=""),"",F232*G232)</f>
        <v/>
      </c>
      <c r="I232" s="32"/>
      <c r="J232" s="32"/>
      <c r="K232" s="37"/>
      <c r="L232" s="38" t="str">
        <f aca="false">IF(C232="","",DATE(YEAR(C232),MONTH(C232),1))</f>
        <v/>
      </c>
      <c r="M232" s="34" t="str">
        <f aca="false">IF(F232="","",N(H232)+N(I232)-N(J232))</f>
        <v/>
      </c>
      <c r="N232" s="29"/>
    </row>
    <row r="233" customFormat="false" ht="15" hidden="false" customHeight="false" outlineLevel="0" collapsed="false">
      <c r="A233" s="29"/>
      <c r="B233" s="29"/>
      <c r="C233" s="31"/>
      <c r="D233" s="31"/>
      <c r="E233" s="35" t="str">
        <f aca="false">IF(OR(C233="",D233=""),"",MAX(1,D233-C233))</f>
        <v/>
      </c>
      <c r="F233" s="32"/>
      <c r="G233" s="36" t="str">
        <f aca="false">IF(B233="","",IFERROR(IF(N(INDEX(Fleet!$N$5:$N$79,MATCH(B233,Fleet!$A$5:$A$79,0)))&gt;0,INDEX(Fleet!$N$5:$N$79,MATCH(B233,Fleet!$A$5:$A$79,0)),Assumptions!$B$7),Assumptions!$B$7))</f>
        <v/>
      </c>
      <c r="H233" s="34" t="str">
        <f aca="false">IF(OR(F233="",G233=""),"",F233*G233)</f>
        <v/>
      </c>
      <c r="I233" s="32"/>
      <c r="J233" s="32"/>
      <c r="K233" s="37"/>
      <c r="L233" s="38" t="str">
        <f aca="false">IF(C233="","",DATE(YEAR(C233),MONTH(C233),1))</f>
        <v/>
      </c>
      <c r="M233" s="34" t="str">
        <f aca="false">IF(F233="","",N(H233)+N(I233)-N(J233))</f>
        <v/>
      </c>
      <c r="N233" s="29"/>
    </row>
    <row r="234" customFormat="false" ht="15" hidden="false" customHeight="false" outlineLevel="0" collapsed="false">
      <c r="A234" s="29"/>
      <c r="B234" s="29"/>
      <c r="C234" s="31"/>
      <c r="D234" s="31"/>
      <c r="E234" s="35" t="str">
        <f aca="false">IF(OR(C234="",D234=""),"",MAX(1,D234-C234))</f>
        <v/>
      </c>
      <c r="F234" s="32"/>
      <c r="G234" s="36" t="str">
        <f aca="false">IF(B234="","",IFERROR(IF(N(INDEX(Fleet!$N$5:$N$79,MATCH(B234,Fleet!$A$5:$A$79,0)))&gt;0,INDEX(Fleet!$N$5:$N$79,MATCH(B234,Fleet!$A$5:$A$79,0)),Assumptions!$B$7),Assumptions!$B$7))</f>
        <v/>
      </c>
      <c r="H234" s="34" t="str">
        <f aca="false">IF(OR(F234="",G234=""),"",F234*G234)</f>
        <v/>
      </c>
      <c r="I234" s="32"/>
      <c r="J234" s="32"/>
      <c r="K234" s="37"/>
      <c r="L234" s="38" t="str">
        <f aca="false">IF(C234="","",DATE(YEAR(C234),MONTH(C234),1))</f>
        <v/>
      </c>
      <c r="M234" s="34" t="str">
        <f aca="false">IF(F234="","",N(H234)+N(I234)-N(J234))</f>
        <v/>
      </c>
      <c r="N234" s="29"/>
    </row>
    <row r="235" customFormat="false" ht="15" hidden="false" customHeight="false" outlineLevel="0" collapsed="false">
      <c r="A235" s="29"/>
      <c r="B235" s="29"/>
      <c r="C235" s="31"/>
      <c r="D235" s="31"/>
      <c r="E235" s="35" t="str">
        <f aca="false">IF(OR(C235="",D235=""),"",MAX(1,D235-C235))</f>
        <v/>
      </c>
      <c r="F235" s="32"/>
      <c r="G235" s="36" t="str">
        <f aca="false">IF(B235="","",IFERROR(IF(N(INDEX(Fleet!$N$5:$N$79,MATCH(B235,Fleet!$A$5:$A$79,0)))&gt;0,INDEX(Fleet!$N$5:$N$79,MATCH(B235,Fleet!$A$5:$A$79,0)),Assumptions!$B$7),Assumptions!$B$7))</f>
        <v/>
      </c>
      <c r="H235" s="34" t="str">
        <f aca="false">IF(OR(F235="",G235=""),"",F235*G235)</f>
        <v/>
      </c>
      <c r="I235" s="32"/>
      <c r="J235" s="32"/>
      <c r="K235" s="37"/>
      <c r="L235" s="38" t="str">
        <f aca="false">IF(C235="","",DATE(YEAR(C235),MONTH(C235),1))</f>
        <v/>
      </c>
      <c r="M235" s="34" t="str">
        <f aca="false">IF(F235="","",N(H235)+N(I235)-N(J235))</f>
        <v/>
      </c>
      <c r="N235" s="29"/>
    </row>
    <row r="236" customFormat="false" ht="15" hidden="false" customHeight="false" outlineLevel="0" collapsed="false">
      <c r="A236" s="29"/>
      <c r="B236" s="29"/>
      <c r="C236" s="31"/>
      <c r="D236" s="31"/>
      <c r="E236" s="35" t="str">
        <f aca="false">IF(OR(C236="",D236=""),"",MAX(1,D236-C236))</f>
        <v/>
      </c>
      <c r="F236" s="32"/>
      <c r="G236" s="36" t="str">
        <f aca="false">IF(B236="","",IFERROR(IF(N(INDEX(Fleet!$N$5:$N$79,MATCH(B236,Fleet!$A$5:$A$79,0)))&gt;0,INDEX(Fleet!$N$5:$N$79,MATCH(B236,Fleet!$A$5:$A$79,0)),Assumptions!$B$7),Assumptions!$B$7))</f>
        <v/>
      </c>
      <c r="H236" s="34" t="str">
        <f aca="false">IF(OR(F236="",G236=""),"",F236*G236)</f>
        <v/>
      </c>
      <c r="I236" s="32"/>
      <c r="J236" s="32"/>
      <c r="K236" s="37"/>
      <c r="L236" s="38" t="str">
        <f aca="false">IF(C236="","",DATE(YEAR(C236),MONTH(C236),1))</f>
        <v/>
      </c>
      <c r="M236" s="34" t="str">
        <f aca="false">IF(F236="","",N(H236)+N(I236)-N(J236))</f>
        <v/>
      </c>
      <c r="N236" s="29"/>
    </row>
    <row r="237" customFormat="false" ht="15" hidden="false" customHeight="false" outlineLevel="0" collapsed="false">
      <c r="A237" s="29"/>
      <c r="B237" s="29"/>
      <c r="C237" s="31"/>
      <c r="D237" s="31"/>
      <c r="E237" s="35" t="str">
        <f aca="false">IF(OR(C237="",D237=""),"",MAX(1,D237-C237))</f>
        <v/>
      </c>
      <c r="F237" s="32"/>
      <c r="G237" s="36" t="str">
        <f aca="false">IF(B237="","",IFERROR(IF(N(INDEX(Fleet!$N$5:$N$79,MATCH(B237,Fleet!$A$5:$A$79,0)))&gt;0,INDEX(Fleet!$N$5:$N$79,MATCH(B237,Fleet!$A$5:$A$79,0)),Assumptions!$B$7),Assumptions!$B$7))</f>
        <v/>
      </c>
      <c r="H237" s="34" t="str">
        <f aca="false">IF(OR(F237="",G237=""),"",F237*G237)</f>
        <v/>
      </c>
      <c r="I237" s="32"/>
      <c r="J237" s="32"/>
      <c r="K237" s="37"/>
      <c r="L237" s="38" t="str">
        <f aca="false">IF(C237="","",DATE(YEAR(C237),MONTH(C237),1))</f>
        <v/>
      </c>
      <c r="M237" s="34" t="str">
        <f aca="false">IF(F237="","",N(H237)+N(I237)-N(J237))</f>
        <v/>
      </c>
      <c r="N237" s="29"/>
    </row>
    <row r="238" customFormat="false" ht="15" hidden="false" customHeight="false" outlineLevel="0" collapsed="false">
      <c r="A238" s="29"/>
      <c r="B238" s="29"/>
      <c r="C238" s="31"/>
      <c r="D238" s="31"/>
      <c r="E238" s="35" t="str">
        <f aca="false">IF(OR(C238="",D238=""),"",MAX(1,D238-C238))</f>
        <v/>
      </c>
      <c r="F238" s="32"/>
      <c r="G238" s="36" t="str">
        <f aca="false">IF(B238="","",IFERROR(IF(N(INDEX(Fleet!$N$5:$N$79,MATCH(B238,Fleet!$A$5:$A$79,0)))&gt;0,INDEX(Fleet!$N$5:$N$79,MATCH(B238,Fleet!$A$5:$A$79,0)),Assumptions!$B$7),Assumptions!$B$7))</f>
        <v/>
      </c>
      <c r="H238" s="34" t="str">
        <f aca="false">IF(OR(F238="",G238=""),"",F238*G238)</f>
        <v/>
      </c>
      <c r="I238" s="32"/>
      <c r="J238" s="32"/>
      <c r="K238" s="37"/>
      <c r="L238" s="38" t="str">
        <f aca="false">IF(C238="","",DATE(YEAR(C238),MONTH(C238),1))</f>
        <v/>
      </c>
      <c r="M238" s="34" t="str">
        <f aca="false">IF(F238="","",N(H238)+N(I238)-N(J238))</f>
        <v/>
      </c>
      <c r="N238" s="29"/>
    </row>
    <row r="239" customFormat="false" ht="15" hidden="false" customHeight="false" outlineLevel="0" collapsed="false">
      <c r="A239" s="29"/>
      <c r="B239" s="29"/>
      <c r="C239" s="31"/>
      <c r="D239" s="31"/>
      <c r="E239" s="35" t="str">
        <f aca="false">IF(OR(C239="",D239=""),"",MAX(1,D239-C239))</f>
        <v/>
      </c>
      <c r="F239" s="32"/>
      <c r="G239" s="36" t="str">
        <f aca="false">IF(B239="","",IFERROR(IF(N(INDEX(Fleet!$N$5:$N$79,MATCH(B239,Fleet!$A$5:$A$79,0)))&gt;0,INDEX(Fleet!$N$5:$N$79,MATCH(B239,Fleet!$A$5:$A$79,0)),Assumptions!$B$7),Assumptions!$B$7))</f>
        <v/>
      </c>
      <c r="H239" s="34" t="str">
        <f aca="false">IF(OR(F239="",G239=""),"",F239*G239)</f>
        <v/>
      </c>
      <c r="I239" s="32"/>
      <c r="J239" s="32"/>
      <c r="K239" s="37"/>
      <c r="L239" s="38" t="str">
        <f aca="false">IF(C239="","",DATE(YEAR(C239),MONTH(C239),1))</f>
        <v/>
      </c>
      <c r="M239" s="34" t="str">
        <f aca="false">IF(F239="","",N(H239)+N(I239)-N(J239))</f>
        <v/>
      </c>
      <c r="N239" s="29"/>
    </row>
    <row r="240" customFormat="false" ht="15" hidden="false" customHeight="false" outlineLevel="0" collapsed="false">
      <c r="A240" s="29"/>
      <c r="B240" s="29"/>
      <c r="C240" s="31"/>
      <c r="D240" s="31"/>
      <c r="E240" s="35" t="str">
        <f aca="false">IF(OR(C240="",D240=""),"",MAX(1,D240-C240))</f>
        <v/>
      </c>
      <c r="F240" s="32"/>
      <c r="G240" s="36" t="str">
        <f aca="false">IF(B240="","",IFERROR(IF(N(INDEX(Fleet!$N$5:$N$79,MATCH(B240,Fleet!$A$5:$A$79,0)))&gt;0,INDEX(Fleet!$N$5:$N$79,MATCH(B240,Fleet!$A$5:$A$79,0)),Assumptions!$B$7),Assumptions!$B$7))</f>
        <v/>
      </c>
      <c r="H240" s="34" t="str">
        <f aca="false">IF(OR(F240="",G240=""),"",F240*G240)</f>
        <v/>
      </c>
      <c r="I240" s="32"/>
      <c r="J240" s="32"/>
      <c r="K240" s="37"/>
      <c r="L240" s="38" t="str">
        <f aca="false">IF(C240="","",DATE(YEAR(C240),MONTH(C240),1))</f>
        <v/>
      </c>
      <c r="M240" s="34" t="str">
        <f aca="false">IF(F240="","",N(H240)+N(I240)-N(J240))</f>
        <v/>
      </c>
      <c r="N240" s="29"/>
    </row>
    <row r="241" customFormat="false" ht="15" hidden="false" customHeight="false" outlineLevel="0" collapsed="false">
      <c r="A241" s="29"/>
      <c r="B241" s="29"/>
      <c r="C241" s="31"/>
      <c r="D241" s="31"/>
      <c r="E241" s="35" t="str">
        <f aca="false">IF(OR(C241="",D241=""),"",MAX(1,D241-C241))</f>
        <v/>
      </c>
      <c r="F241" s="32"/>
      <c r="G241" s="36" t="str">
        <f aca="false">IF(B241="","",IFERROR(IF(N(INDEX(Fleet!$N$5:$N$79,MATCH(B241,Fleet!$A$5:$A$79,0)))&gt;0,INDEX(Fleet!$N$5:$N$79,MATCH(B241,Fleet!$A$5:$A$79,0)),Assumptions!$B$7),Assumptions!$B$7))</f>
        <v/>
      </c>
      <c r="H241" s="34" t="str">
        <f aca="false">IF(OR(F241="",G241=""),"",F241*G241)</f>
        <v/>
      </c>
      <c r="I241" s="32"/>
      <c r="J241" s="32"/>
      <c r="K241" s="37"/>
      <c r="L241" s="38" t="str">
        <f aca="false">IF(C241="","",DATE(YEAR(C241),MONTH(C241),1))</f>
        <v/>
      </c>
      <c r="M241" s="34" t="str">
        <f aca="false">IF(F241="","",N(H241)+N(I241)-N(J241))</f>
        <v/>
      </c>
      <c r="N241" s="29"/>
    </row>
    <row r="242" customFormat="false" ht="15" hidden="false" customHeight="false" outlineLevel="0" collapsed="false">
      <c r="A242" s="29"/>
      <c r="B242" s="29"/>
      <c r="C242" s="31"/>
      <c r="D242" s="31"/>
      <c r="E242" s="35" t="str">
        <f aca="false">IF(OR(C242="",D242=""),"",MAX(1,D242-C242))</f>
        <v/>
      </c>
      <c r="F242" s="32"/>
      <c r="G242" s="36" t="str">
        <f aca="false">IF(B242="","",IFERROR(IF(N(INDEX(Fleet!$N$5:$N$79,MATCH(B242,Fleet!$A$5:$A$79,0)))&gt;0,INDEX(Fleet!$N$5:$N$79,MATCH(B242,Fleet!$A$5:$A$79,0)),Assumptions!$B$7),Assumptions!$B$7))</f>
        <v/>
      </c>
      <c r="H242" s="34" t="str">
        <f aca="false">IF(OR(F242="",G242=""),"",F242*G242)</f>
        <v/>
      </c>
      <c r="I242" s="32"/>
      <c r="J242" s="32"/>
      <c r="K242" s="37"/>
      <c r="L242" s="38" t="str">
        <f aca="false">IF(C242="","",DATE(YEAR(C242),MONTH(C242),1))</f>
        <v/>
      </c>
      <c r="M242" s="34" t="str">
        <f aca="false">IF(F242="","",N(H242)+N(I242)-N(J242))</f>
        <v/>
      </c>
      <c r="N242" s="29"/>
    </row>
    <row r="243" customFormat="false" ht="15" hidden="false" customHeight="false" outlineLevel="0" collapsed="false">
      <c r="A243" s="29"/>
      <c r="B243" s="29"/>
      <c r="C243" s="31"/>
      <c r="D243" s="31"/>
      <c r="E243" s="35" t="str">
        <f aca="false">IF(OR(C243="",D243=""),"",MAX(1,D243-C243))</f>
        <v/>
      </c>
      <c r="F243" s="32"/>
      <c r="G243" s="36" t="str">
        <f aca="false">IF(B243="","",IFERROR(IF(N(INDEX(Fleet!$N$5:$N$79,MATCH(B243,Fleet!$A$5:$A$79,0)))&gt;0,INDEX(Fleet!$N$5:$N$79,MATCH(B243,Fleet!$A$5:$A$79,0)),Assumptions!$B$7),Assumptions!$B$7))</f>
        <v/>
      </c>
      <c r="H243" s="34" t="str">
        <f aca="false">IF(OR(F243="",G243=""),"",F243*G243)</f>
        <v/>
      </c>
      <c r="I243" s="32"/>
      <c r="J243" s="32"/>
      <c r="K243" s="37"/>
      <c r="L243" s="38" t="str">
        <f aca="false">IF(C243="","",DATE(YEAR(C243),MONTH(C243),1))</f>
        <v/>
      </c>
      <c r="M243" s="34" t="str">
        <f aca="false">IF(F243="","",N(H243)+N(I243)-N(J243))</f>
        <v/>
      </c>
      <c r="N243" s="29"/>
    </row>
    <row r="244" customFormat="false" ht="15" hidden="false" customHeight="false" outlineLevel="0" collapsed="false">
      <c r="A244" s="29"/>
      <c r="B244" s="29"/>
      <c r="C244" s="31"/>
      <c r="D244" s="31"/>
      <c r="E244" s="35" t="str">
        <f aca="false">IF(OR(C244="",D244=""),"",MAX(1,D244-C244))</f>
        <v/>
      </c>
      <c r="F244" s="32"/>
      <c r="G244" s="36" t="str">
        <f aca="false">IF(B244="","",IFERROR(IF(N(INDEX(Fleet!$N$5:$N$79,MATCH(B244,Fleet!$A$5:$A$79,0)))&gt;0,INDEX(Fleet!$N$5:$N$79,MATCH(B244,Fleet!$A$5:$A$79,0)),Assumptions!$B$7),Assumptions!$B$7))</f>
        <v/>
      </c>
      <c r="H244" s="34" t="str">
        <f aca="false">IF(OR(F244="",G244=""),"",F244*G244)</f>
        <v/>
      </c>
      <c r="I244" s="32"/>
      <c r="J244" s="32"/>
      <c r="K244" s="37"/>
      <c r="L244" s="38" t="str">
        <f aca="false">IF(C244="","",DATE(YEAR(C244),MONTH(C244),1))</f>
        <v/>
      </c>
      <c r="M244" s="34" t="str">
        <f aca="false">IF(F244="","",N(H244)+N(I244)-N(J244))</f>
        <v/>
      </c>
      <c r="N244" s="29"/>
    </row>
    <row r="245" customFormat="false" ht="15" hidden="false" customHeight="false" outlineLevel="0" collapsed="false">
      <c r="A245" s="29"/>
      <c r="B245" s="29"/>
      <c r="C245" s="31"/>
      <c r="D245" s="31"/>
      <c r="E245" s="35" t="str">
        <f aca="false">IF(OR(C245="",D245=""),"",MAX(1,D245-C245))</f>
        <v/>
      </c>
      <c r="F245" s="32"/>
      <c r="G245" s="36" t="str">
        <f aca="false">IF(B245="","",IFERROR(IF(N(INDEX(Fleet!$N$5:$N$79,MATCH(B245,Fleet!$A$5:$A$79,0)))&gt;0,INDEX(Fleet!$N$5:$N$79,MATCH(B245,Fleet!$A$5:$A$79,0)),Assumptions!$B$7),Assumptions!$B$7))</f>
        <v/>
      </c>
      <c r="H245" s="34" t="str">
        <f aca="false">IF(OR(F245="",G245=""),"",F245*G245)</f>
        <v/>
      </c>
      <c r="I245" s="32"/>
      <c r="J245" s="32"/>
      <c r="K245" s="37"/>
      <c r="L245" s="38" t="str">
        <f aca="false">IF(C245="","",DATE(YEAR(C245),MONTH(C245),1))</f>
        <v/>
      </c>
      <c r="M245" s="34" t="str">
        <f aca="false">IF(F245="","",N(H245)+N(I245)-N(J245))</f>
        <v/>
      </c>
      <c r="N245" s="29"/>
    </row>
    <row r="246" customFormat="false" ht="15" hidden="false" customHeight="false" outlineLevel="0" collapsed="false">
      <c r="A246" s="29"/>
      <c r="B246" s="29"/>
      <c r="C246" s="31"/>
      <c r="D246" s="31"/>
      <c r="E246" s="35" t="str">
        <f aca="false">IF(OR(C246="",D246=""),"",MAX(1,D246-C246))</f>
        <v/>
      </c>
      <c r="F246" s="32"/>
      <c r="G246" s="36" t="str">
        <f aca="false">IF(B246="","",IFERROR(IF(N(INDEX(Fleet!$N$5:$N$79,MATCH(B246,Fleet!$A$5:$A$79,0)))&gt;0,INDEX(Fleet!$N$5:$N$79,MATCH(B246,Fleet!$A$5:$A$79,0)),Assumptions!$B$7),Assumptions!$B$7))</f>
        <v/>
      </c>
      <c r="H246" s="34" t="str">
        <f aca="false">IF(OR(F246="",G246=""),"",F246*G246)</f>
        <v/>
      </c>
      <c r="I246" s="32"/>
      <c r="J246" s="32"/>
      <c r="K246" s="37"/>
      <c r="L246" s="38" t="str">
        <f aca="false">IF(C246="","",DATE(YEAR(C246),MONTH(C246),1))</f>
        <v/>
      </c>
      <c r="M246" s="34" t="str">
        <f aca="false">IF(F246="","",N(H246)+N(I246)-N(J246))</f>
        <v/>
      </c>
      <c r="N246" s="29"/>
    </row>
    <row r="247" customFormat="false" ht="15" hidden="false" customHeight="false" outlineLevel="0" collapsed="false">
      <c r="A247" s="29"/>
      <c r="B247" s="29"/>
      <c r="C247" s="31"/>
      <c r="D247" s="31"/>
      <c r="E247" s="35" t="str">
        <f aca="false">IF(OR(C247="",D247=""),"",MAX(1,D247-C247))</f>
        <v/>
      </c>
      <c r="F247" s="32"/>
      <c r="G247" s="36" t="str">
        <f aca="false">IF(B247="","",IFERROR(IF(N(INDEX(Fleet!$N$5:$N$79,MATCH(B247,Fleet!$A$5:$A$79,0)))&gt;0,INDEX(Fleet!$N$5:$N$79,MATCH(B247,Fleet!$A$5:$A$79,0)),Assumptions!$B$7),Assumptions!$B$7))</f>
        <v/>
      </c>
      <c r="H247" s="34" t="str">
        <f aca="false">IF(OR(F247="",G247=""),"",F247*G247)</f>
        <v/>
      </c>
      <c r="I247" s="32"/>
      <c r="J247" s="32"/>
      <c r="K247" s="37"/>
      <c r="L247" s="38" t="str">
        <f aca="false">IF(C247="","",DATE(YEAR(C247),MONTH(C247),1))</f>
        <v/>
      </c>
      <c r="M247" s="34" t="str">
        <f aca="false">IF(F247="","",N(H247)+N(I247)-N(J247))</f>
        <v/>
      </c>
      <c r="N247" s="29"/>
    </row>
    <row r="248" customFormat="false" ht="15" hidden="false" customHeight="false" outlineLevel="0" collapsed="false">
      <c r="A248" s="29"/>
      <c r="B248" s="29"/>
      <c r="C248" s="31"/>
      <c r="D248" s="31"/>
      <c r="E248" s="35" t="str">
        <f aca="false">IF(OR(C248="",D248=""),"",MAX(1,D248-C248))</f>
        <v/>
      </c>
      <c r="F248" s="32"/>
      <c r="G248" s="36" t="str">
        <f aca="false">IF(B248="","",IFERROR(IF(N(INDEX(Fleet!$N$5:$N$79,MATCH(B248,Fleet!$A$5:$A$79,0)))&gt;0,INDEX(Fleet!$N$5:$N$79,MATCH(B248,Fleet!$A$5:$A$79,0)),Assumptions!$B$7),Assumptions!$B$7))</f>
        <v/>
      </c>
      <c r="H248" s="34" t="str">
        <f aca="false">IF(OR(F248="",G248=""),"",F248*G248)</f>
        <v/>
      </c>
      <c r="I248" s="32"/>
      <c r="J248" s="32"/>
      <c r="K248" s="37"/>
      <c r="L248" s="38" t="str">
        <f aca="false">IF(C248="","",DATE(YEAR(C248),MONTH(C248),1))</f>
        <v/>
      </c>
      <c r="M248" s="34" t="str">
        <f aca="false">IF(F248="","",N(H248)+N(I248)-N(J248))</f>
        <v/>
      </c>
      <c r="N248" s="29"/>
    </row>
    <row r="249" customFormat="false" ht="15" hidden="false" customHeight="false" outlineLevel="0" collapsed="false">
      <c r="A249" s="29"/>
      <c r="B249" s="29"/>
      <c r="C249" s="31"/>
      <c r="D249" s="31"/>
      <c r="E249" s="35" t="str">
        <f aca="false">IF(OR(C249="",D249=""),"",MAX(1,D249-C249))</f>
        <v/>
      </c>
      <c r="F249" s="32"/>
      <c r="G249" s="36" t="str">
        <f aca="false">IF(B249="","",IFERROR(IF(N(INDEX(Fleet!$N$5:$N$79,MATCH(B249,Fleet!$A$5:$A$79,0)))&gt;0,INDEX(Fleet!$N$5:$N$79,MATCH(B249,Fleet!$A$5:$A$79,0)),Assumptions!$B$7),Assumptions!$B$7))</f>
        <v/>
      </c>
      <c r="H249" s="34" t="str">
        <f aca="false">IF(OR(F249="",G249=""),"",F249*G249)</f>
        <v/>
      </c>
      <c r="I249" s="32"/>
      <c r="J249" s="32"/>
      <c r="K249" s="37"/>
      <c r="L249" s="38" t="str">
        <f aca="false">IF(C249="","",DATE(YEAR(C249),MONTH(C249),1))</f>
        <v/>
      </c>
      <c r="M249" s="34" t="str">
        <f aca="false">IF(F249="","",N(H249)+N(I249)-N(J249))</f>
        <v/>
      </c>
      <c r="N249" s="29"/>
    </row>
    <row r="250" customFormat="false" ht="15" hidden="false" customHeight="false" outlineLevel="0" collapsed="false">
      <c r="A250" s="29"/>
      <c r="B250" s="29"/>
      <c r="C250" s="31"/>
      <c r="D250" s="31"/>
      <c r="E250" s="35" t="str">
        <f aca="false">IF(OR(C250="",D250=""),"",MAX(1,D250-C250))</f>
        <v/>
      </c>
      <c r="F250" s="32"/>
      <c r="G250" s="36" t="str">
        <f aca="false">IF(B250="","",IFERROR(IF(N(INDEX(Fleet!$N$5:$N$79,MATCH(B250,Fleet!$A$5:$A$79,0)))&gt;0,INDEX(Fleet!$N$5:$N$79,MATCH(B250,Fleet!$A$5:$A$79,0)),Assumptions!$B$7),Assumptions!$B$7))</f>
        <v/>
      </c>
      <c r="H250" s="34" t="str">
        <f aca="false">IF(OR(F250="",G250=""),"",F250*G250)</f>
        <v/>
      </c>
      <c r="I250" s="32"/>
      <c r="J250" s="32"/>
      <c r="K250" s="37"/>
      <c r="L250" s="38" t="str">
        <f aca="false">IF(C250="","",DATE(YEAR(C250),MONTH(C250),1))</f>
        <v/>
      </c>
      <c r="M250" s="34" t="str">
        <f aca="false">IF(F250="","",N(H250)+N(I250)-N(J250))</f>
        <v/>
      </c>
      <c r="N250" s="29"/>
    </row>
    <row r="251" customFormat="false" ht="15" hidden="false" customHeight="false" outlineLevel="0" collapsed="false">
      <c r="A251" s="29"/>
      <c r="B251" s="29"/>
      <c r="C251" s="31"/>
      <c r="D251" s="31"/>
      <c r="E251" s="35" t="str">
        <f aca="false">IF(OR(C251="",D251=""),"",MAX(1,D251-C251))</f>
        <v/>
      </c>
      <c r="F251" s="32"/>
      <c r="G251" s="36" t="str">
        <f aca="false">IF(B251="","",IFERROR(IF(N(INDEX(Fleet!$N$5:$N$79,MATCH(B251,Fleet!$A$5:$A$79,0)))&gt;0,INDEX(Fleet!$N$5:$N$79,MATCH(B251,Fleet!$A$5:$A$79,0)),Assumptions!$B$7),Assumptions!$B$7))</f>
        <v/>
      </c>
      <c r="H251" s="34" t="str">
        <f aca="false">IF(OR(F251="",G251=""),"",F251*G251)</f>
        <v/>
      </c>
      <c r="I251" s="32"/>
      <c r="J251" s="32"/>
      <c r="K251" s="37"/>
      <c r="L251" s="38" t="str">
        <f aca="false">IF(C251="","",DATE(YEAR(C251),MONTH(C251),1))</f>
        <v/>
      </c>
      <c r="M251" s="34" t="str">
        <f aca="false">IF(F251="","",N(H251)+N(I251)-N(J251))</f>
        <v/>
      </c>
      <c r="N251" s="29"/>
    </row>
    <row r="252" customFormat="false" ht="15" hidden="false" customHeight="false" outlineLevel="0" collapsed="false">
      <c r="A252" s="29"/>
      <c r="B252" s="29"/>
      <c r="C252" s="31"/>
      <c r="D252" s="31"/>
      <c r="E252" s="35" t="str">
        <f aca="false">IF(OR(C252="",D252=""),"",MAX(1,D252-C252))</f>
        <v/>
      </c>
      <c r="F252" s="32"/>
      <c r="G252" s="36" t="str">
        <f aca="false">IF(B252="","",IFERROR(IF(N(INDEX(Fleet!$N$5:$N$79,MATCH(B252,Fleet!$A$5:$A$79,0)))&gt;0,INDEX(Fleet!$N$5:$N$79,MATCH(B252,Fleet!$A$5:$A$79,0)),Assumptions!$B$7),Assumptions!$B$7))</f>
        <v/>
      </c>
      <c r="H252" s="34" t="str">
        <f aca="false">IF(OR(F252="",G252=""),"",F252*G252)</f>
        <v/>
      </c>
      <c r="I252" s="32"/>
      <c r="J252" s="32"/>
      <c r="K252" s="37"/>
      <c r="L252" s="38" t="str">
        <f aca="false">IF(C252="","",DATE(YEAR(C252),MONTH(C252),1))</f>
        <v/>
      </c>
      <c r="M252" s="34" t="str">
        <f aca="false">IF(F252="","",N(H252)+N(I252)-N(J252))</f>
        <v/>
      </c>
      <c r="N252" s="29"/>
    </row>
    <row r="253" customFormat="false" ht="15" hidden="false" customHeight="false" outlineLevel="0" collapsed="false">
      <c r="A253" s="29"/>
      <c r="B253" s="29"/>
      <c r="C253" s="31"/>
      <c r="D253" s="31"/>
      <c r="E253" s="35" t="str">
        <f aca="false">IF(OR(C253="",D253=""),"",MAX(1,D253-C253))</f>
        <v/>
      </c>
      <c r="F253" s="32"/>
      <c r="G253" s="36" t="str">
        <f aca="false">IF(B253="","",IFERROR(IF(N(INDEX(Fleet!$N$5:$N$79,MATCH(B253,Fleet!$A$5:$A$79,0)))&gt;0,INDEX(Fleet!$N$5:$N$79,MATCH(B253,Fleet!$A$5:$A$79,0)),Assumptions!$B$7),Assumptions!$B$7))</f>
        <v/>
      </c>
      <c r="H253" s="34" t="str">
        <f aca="false">IF(OR(F253="",G253=""),"",F253*G253)</f>
        <v/>
      </c>
      <c r="I253" s="32"/>
      <c r="J253" s="32"/>
      <c r="K253" s="37"/>
      <c r="L253" s="38" t="str">
        <f aca="false">IF(C253="","",DATE(YEAR(C253),MONTH(C253),1))</f>
        <v/>
      </c>
      <c r="M253" s="34" t="str">
        <f aca="false">IF(F253="","",N(H253)+N(I253)-N(J253))</f>
        <v/>
      </c>
      <c r="N253" s="29"/>
    </row>
    <row r="254" customFormat="false" ht="15" hidden="false" customHeight="false" outlineLevel="0" collapsed="false">
      <c r="A254" s="29"/>
      <c r="B254" s="29"/>
      <c r="C254" s="31"/>
      <c r="D254" s="31"/>
      <c r="E254" s="35" t="str">
        <f aca="false">IF(OR(C254="",D254=""),"",MAX(1,D254-C254))</f>
        <v/>
      </c>
      <c r="F254" s="32"/>
      <c r="G254" s="36" t="str">
        <f aca="false">IF(B254="","",IFERROR(IF(N(INDEX(Fleet!$N$5:$N$79,MATCH(B254,Fleet!$A$5:$A$79,0)))&gt;0,INDEX(Fleet!$N$5:$N$79,MATCH(B254,Fleet!$A$5:$A$79,0)),Assumptions!$B$7),Assumptions!$B$7))</f>
        <v/>
      </c>
      <c r="H254" s="34" t="str">
        <f aca="false">IF(OR(F254="",G254=""),"",F254*G254)</f>
        <v/>
      </c>
      <c r="I254" s="32"/>
      <c r="J254" s="32"/>
      <c r="K254" s="37"/>
      <c r="L254" s="38" t="str">
        <f aca="false">IF(C254="","",DATE(YEAR(C254),MONTH(C254),1))</f>
        <v/>
      </c>
      <c r="M254" s="34" t="str">
        <f aca="false">IF(F254="","",N(H254)+N(I254)-N(J254))</f>
        <v/>
      </c>
      <c r="N254" s="29"/>
    </row>
    <row r="255" customFormat="false" ht="15" hidden="false" customHeight="false" outlineLevel="0" collapsed="false">
      <c r="A255" s="29"/>
      <c r="B255" s="29"/>
      <c r="C255" s="31"/>
      <c r="D255" s="31"/>
      <c r="E255" s="35" t="str">
        <f aca="false">IF(OR(C255="",D255=""),"",MAX(1,D255-C255))</f>
        <v/>
      </c>
      <c r="F255" s="32"/>
      <c r="G255" s="36" t="str">
        <f aca="false">IF(B255="","",IFERROR(IF(N(INDEX(Fleet!$N$5:$N$79,MATCH(B255,Fleet!$A$5:$A$79,0)))&gt;0,INDEX(Fleet!$N$5:$N$79,MATCH(B255,Fleet!$A$5:$A$79,0)),Assumptions!$B$7),Assumptions!$B$7))</f>
        <v/>
      </c>
      <c r="H255" s="34" t="str">
        <f aca="false">IF(OR(F255="",G255=""),"",F255*G255)</f>
        <v/>
      </c>
      <c r="I255" s="32"/>
      <c r="J255" s="32"/>
      <c r="K255" s="37"/>
      <c r="L255" s="38" t="str">
        <f aca="false">IF(C255="","",DATE(YEAR(C255),MONTH(C255),1))</f>
        <v/>
      </c>
      <c r="M255" s="34" t="str">
        <f aca="false">IF(F255="","",N(H255)+N(I255)-N(J255))</f>
        <v/>
      </c>
      <c r="N255" s="29"/>
    </row>
    <row r="256" customFormat="false" ht="15" hidden="false" customHeight="false" outlineLevel="0" collapsed="false">
      <c r="A256" s="29"/>
      <c r="B256" s="29"/>
      <c r="C256" s="31"/>
      <c r="D256" s="31"/>
      <c r="E256" s="35" t="str">
        <f aca="false">IF(OR(C256="",D256=""),"",MAX(1,D256-C256))</f>
        <v/>
      </c>
      <c r="F256" s="32"/>
      <c r="G256" s="36" t="str">
        <f aca="false">IF(B256="","",IFERROR(IF(N(INDEX(Fleet!$N$5:$N$79,MATCH(B256,Fleet!$A$5:$A$79,0)))&gt;0,INDEX(Fleet!$N$5:$N$79,MATCH(B256,Fleet!$A$5:$A$79,0)),Assumptions!$B$7),Assumptions!$B$7))</f>
        <v/>
      </c>
      <c r="H256" s="34" t="str">
        <f aca="false">IF(OR(F256="",G256=""),"",F256*G256)</f>
        <v/>
      </c>
      <c r="I256" s="32"/>
      <c r="J256" s="32"/>
      <c r="K256" s="37"/>
      <c r="L256" s="38" t="str">
        <f aca="false">IF(C256="","",DATE(YEAR(C256),MONTH(C256),1))</f>
        <v/>
      </c>
      <c r="M256" s="34" t="str">
        <f aca="false">IF(F256="","",N(H256)+N(I256)-N(J256))</f>
        <v/>
      </c>
      <c r="N256" s="29"/>
    </row>
    <row r="257" customFormat="false" ht="15" hidden="false" customHeight="false" outlineLevel="0" collapsed="false">
      <c r="A257" s="29"/>
      <c r="B257" s="29"/>
      <c r="C257" s="31"/>
      <c r="D257" s="31"/>
      <c r="E257" s="35" t="str">
        <f aca="false">IF(OR(C257="",D257=""),"",MAX(1,D257-C257))</f>
        <v/>
      </c>
      <c r="F257" s="32"/>
      <c r="G257" s="36" t="str">
        <f aca="false">IF(B257="","",IFERROR(IF(N(INDEX(Fleet!$N$5:$N$79,MATCH(B257,Fleet!$A$5:$A$79,0)))&gt;0,INDEX(Fleet!$N$5:$N$79,MATCH(B257,Fleet!$A$5:$A$79,0)),Assumptions!$B$7),Assumptions!$B$7))</f>
        <v/>
      </c>
      <c r="H257" s="34" t="str">
        <f aca="false">IF(OR(F257="",G257=""),"",F257*G257)</f>
        <v/>
      </c>
      <c r="I257" s="32"/>
      <c r="J257" s="32"/>
      <c r="K257" s="37"/>
      <c r="L257" s="38" t="str">
        <f aca="false">IF(C257="","",DATE(YEAR(C257),MONTH(C257),1))</f>
        <v/>
      </c>
      <c r="M257" s="34" t="str">
        <f aca="false">IF(F257="","",N(H257)+N(I257)-N(J257))</f>
        <v/>
      </c>
      <c r="N257" s="29"/>
    </row>
    <row r="258" customFormat="false" ht="15" hidden="false" customHeight="false" outlineLevel="0" collapsed="false">
      <c r="A258" s="29"/>
      <c r="B258" s="29"/>
      <c r="C258" s="31"/>
      <c r="D258" s="31"/>
      <c r="E258" s="35" t="str">
        <f aca="false">IF(OR(C258="",D258=""),"",MAX(1,D258-C258))</f>
        <v/>
      </c>
      <c r="F258" s="32"/>
      <c r="G258" s="36" t="str">
        <f aca="false">IF(B258="","",IFERROR(IF(N(INDEX(Fleet!$N$5:$N$79,MATCH(B258,Fleet!$A$5:$A$79,0)))&gt;0,INDEX(Fleet!$N$5:$N$79,MATCH(B258,Fleet!$A$5:$A$79,0)),Assumptions!$B$7),Assumptions!$B$7))</f>
        <v/>
      </c>
      <c r="H258" s="34" t="str">
        <f aca="false">IF(OR(F258="",G258=""),"",F258*G258)</f>
        <v/>
      </c>
      <c r="I258" s="32"/>
      <c r="J258" s="32"/>
      <c r="K258" s="37"/>
      <c r="L258" s="38" t="str">
        <f aca="false">IF(C258="","",DATE(YEAR(C258),MONTH(C258),1))</f>
        <v/>
      </c>
      <c r="M258" s="34" t="str">
        <f aca="false">IF(F258="","",N(H258)+N(I258)-N(J258))</f>
        <v/>
      </c>
      <c r="N258" s="29"/>
    </row>
    <row r="259" customFormat="false" ht="15" hidden="false" customHeight="false" outlineLevel="0" collapsed="false">
      <c r="A259" s="29"/>
      <c r="B259" s="29"/>
      <c r="C259" s="31"/>
      <c r="D259" s="31"/>
      <c r="E259" s="35" t="str">
        <f aca="false">IF(OR(C259="",D259=""),"",MAX(1,D259-C259))</f>
        <v/>
      </c>
      <c r="F259" s="32"/>
      <c r="G259" s="36" t="str">
        <f aca="false">IF(B259="","",IFERROR(IF(N(INDEX(Fleet!$N$5:$N$79,MATCH(B259,Fleet!$A$5:$A$79,0)))&gt;0,INDEX(Fleet!$N$5:$N$79,MATCH(B259,Fleet!$A$5:$A$79,0)),Assumptions!$B$7),Assumptions!$B$7))</f>
        <v/>
      </c>
      <c r="H259" s="34" t="str">
        <f aca="false">IF(OR(F259="",G259=""),"",F259*G259)</f>
        <v/>
      </c>
      <c r="I259" s="32"/>
      <c r="J259" s="32"/>
      <c r="K259" s="37"/>
      <c r="L259" s="38" t="str">
        <f aca="false">IF(C259="","",DATE(YEAR(C259),MONTH(C259),1))</f>
        <v/>
      </c>
      <c r="M259" s="34" t="str">
        <f aca="false">IF(F259="","",N(H259)+N(I259)-N(J259))</f>
        <v/>
      </c>
      <c r="N259" s="29"/>
    </row>
    <row r="260" customFormat="false" ht="15" hidden="false" customHeight="false" outlineLevel="0" collapsed="false">
      <c r="A260" s="29"/>
      <c r="B260" s="29"/>
      <c r="C260" s="31"/>
      <c r="D260" s="31"/>
      <c r="E260" s="35" t="str">
        <f aca="false">IF(OR(C260="",D260=""),"",MAX(1,D260-C260))</f>
        <v/>
      </c>
      <c r="F260" s="32"/>
      <c r="G260" s="36" t="str">
        <f aca="false">IF(B260="","",IFERROR(IF(N(INDEX(Fleet!$N$5:$N$79,MATCH(B260,Fleet!$A$5:$A$79,0)))&gt;0,INDEX(Fleet!$N$5:$N$79,MATCH(B260,Fleet!$A$5:$A$79,0)),Assumptions!$B$7),Assumptions!$B$7))</f>
        <v/>
      </c>
      <c r="H260" s="34" t="str">
        <f aca="false">IF(OR(F260="",G260=""),"",F260*G260)</f>
        <v/>
      </c>
      <c r="I260" s="32"/>
      <c r="J260" s="32"/>
      <c r="K260" s="37"/>
      <c r="L260" s="38" t="str">
        <f aca="false">IF(C260="","",DATE(YEAR(C260),MONTH(C260),1))</f>
        <v/>
      </c>
      <c r="M260" s="34" t="str">
        <f aca="false">IF(F260="","",N(H260)+N(I260)-N(J260))</f>
        <v/>
      </c>
      <c r="N260" s="29"/>
    </row>
    <row r="261" customFormat="false" ht="15" hidden="false" customHeight="false" outlineLevel="0" collapsed="false">
      <c r="A261" s="29"/>
      <c r="B261" s="29"/>
      <c r="C261" s="31"/>
      <c r="D261" s="31"/>
      <c r="E261" s="35" t="str">
        <f aca="false">IF(OR(C261="",D261=""),"",MAX(1,D261-C261))</f>
        <v/>
      </c>
      <c r="F261" s="32"/>
      <c r="G261" s="36" t="str">
        <f aca="false">IF(B261="","",IFERROR(IF(N(INDEX(Fleet!$N$5:$N$79,MATCH(B261,Fleet!$A$5:$A$79,0)))&gt;0,INDEX(Fleet!$N$5:$N$79,MATCH(B261,Fleet!$A$5:$A$79,0)),Assumptions!$B$7),Assumptions!$B$7))</f>
        <v/>
      </c>
      <c r="H261" s="34" t="str">
        <f aca="false">IF(OR(F261="",G261=""),"",F261*G261)</f>
        <v/>
      </c>
      <c r="I261" s="32"/>
      <c r="J261" s="32"/>
      <c r="K261" s="37"/>
      <c r="L261" s="38" t="str">
        <f aca="false">IF(C261="","",DATE(YEAR(C261),MONTH(C261),1))</f>
        <v/>
      </c>
      <c r="M261" s="34" t="str">
        <f aca="false">IF(F261="","",N(H261)+N(I261)-N(J261))</f>
        <v/>
      </c>
      <c r="N261" s="29"/>
    </row>
    <row r="262" customFormat="false" ht="15" hidden="false" customHeight="false" outlineLevel="0" collapsed="false">
      <c r="A262" s="29"/>
      <c r="B262" s="29"/>
      <c r="C262" s="31"/>
      <c r="D262" s="31"/>
      <c r="E262" s="35" t="str">
        <f aca="false">IF(OR(C262="",D262=""),"",MAX(1,D262-C262))</f>
        <v/>
      </c>
      <c r="F262" s="32"/>
      <c r="G262" s="36" t="str">
        <f aca="false">IF(B262="","",IFERROR(IF(N(INDEX(Fleet!$N$5:$N$79,MATCH(B262,Fleet!$A$5:$A$79,0)))&gt;0,INDEX(Fleet!$N$5:$N$79,MATCH(B262,Fleet!$A$5:$A$79,0)),Assumptions!$B$7),Assumptions!$B$7))</f>
        <v/>
      </c>
      <c r="H262" s="34" t="str">
        <f aca="false">IF(OR(F262="",G262=""),"",F262*G262)</f>
        <v/>
      </c>
      <c r="I262" s="32"/>
      <c r="J262" s="32"/>
      <c r="K262" s="37"/>
      <c r="L262" s="38" t="str">
        <f aca="false">IF(C262="","",DATE(YEAR(C262),MONTH(C262),1))</f>
        <v/>
      </c>
      <c r="M262" s="34" t="str">
        <f aca="false">IF(F262="","",N(H262)+N(I262)-N(J262))</f>
        <v/>
      </c>
      <c r="N262" s="29"/>
    </row>
    <row r="263" customFormat="false" ht="15" hidden="false" customHeight="false" outlineLevel="0" collapsed="false">
      <c r="A263" s="29"/>
      <c r="B263" s="29"/>
      <c r="C263" s="31"/>
      <c r="D263" s="31"/>
      <c r="E263" s="35" t="str">
        <f aca="false">IF(OR(C263="",D263=""),"",MAX(1,D263-C263))</f>
        <v/>
      </c>
      <c r="F263" s="32"/>
      <c r="G263" s="36" t="str">
        <f aca="false">IF(B263="","",IFERROR(IF(N(INDEX(Fleet!$N$5:$N$79,MATCH(B263,Fleet!$A$5:$A$79,0)))&gt;0,INDEX(Fleet!$N$5:$N$79,MATCH(B263,Fleet!$A$5:$A$79,0)),Assumptions!$B$7),Assumptions!$B$7))</f>
        <v/>
      </c>
      <c r="H263" s="34" t="str">
        <f aca="false">IF(OR(F263="",G263=""),"",F263*G263)</f>
        <v/>
      </c>
      <c r="I263" s="32"/>
      <c r="J263" s="32"/>
      <c r="K263" s="37"/>
      <c r="L263" s="38" t="str">
        <f aca="false">IF(C263="","",DATE(YEAR(C263),MONTH(C263),1))</f>
        <v/>
      </c>
      <c r="M263" s="34" t="str">
        <f aca="false">IF(F263="","",N(H263)+N(I263)-N(J263))</f>
        <v/>
      </c>
      <c r="N263" s="29"/>
    </row>
    <row r="264" customFormat="false" ht="15" hidden="false" customHeight="false" outlineLevel="0" collapsed="false">
      <c r="A264" s="29"/>
      <c r="B264" s="29"/>
      <c r="C264" s="31"/>
      <c r="D264" s="31"/>
      <c r="E264" s="35" t="str">
        <f aca="false">IF(OR(C264="",D264=""),"",MAX(1,D264-C264))</f>
        <v/>
      </c>
      <c r="F264" s="32"/>
      <c r="G264" s="36" t="str">
        <f aca="false">IF(B264="","",IFERROR(IF(N(INDEX(Fleet!$N$5:$N$79,MATCH(B264,Fleet!$A$5:$A$79,0)))&gt;0,INDEX(Fleet!$N$5:$N$79,MATCH(B264,Fleet!$A$5:$A$79,0)),Assumptions!$B$7),Assumptions!$B$7))</f>
        <v/>
      </c>
      <c r="H264" s="34" t="str">
        <f aca="false">IF(OR(F264="",G264=""),"",F264*G264)</f>
        <v/>
      </c>
      <c r="I264" s="32"/>
      <c r="J264" s="32"/>
      <c r="K264" s="37"/>
      <c r="L264" s="38" t="str">
        <f aca="false">IF(C264="","",DATE(YEAR(C264),MONTH(C264),1))</f>
        <v/>
      </c>
      <c r="M264" s="34" t="str">
        <f aca="false">IF(F264="","",N(H264)+N(I264)-N(J264))</f>
        <v/>
      </c>
      <c r="N264" s="29"/>
    </row>
    <row r="265" customFormat="false" ht="15" hidden="false" customHeight="false" outlineLevel="0" collapsed="false">
      <c r="A265" s="29"/>
      <c r="B265" s="29"/>
      <c r="C265" s="31"/>
      <c r="D265" s="31"/>
      <c r="E265" s="35" t="str">
        <f aca="false">IF(OR(C265="",D265=""),"",MAX(1,D265-C265))</f>
        <v/>
      </c>
      <c r="F265" s="32"/>
      <c r="G265" s="36" t="str">
        <f aca="false">IF(B265="","",IFERROR(IF(N(INDEX(Fleet!$N$5:$N$79,MATCH(B265,Fleet!$A$5:$A$79,0)))&gt;0,INDEX(Fleet!$N$5:$N$79,MATCH(B265,Fleet!$A$5:$A$79,0)),Assumptions!$B$7),Assumptions!$B$7))</f>
        <v/>
      </c>
      <c r="H265" s="34" t="str">
        <f aca="false">IF(OR(F265="",G265=""),"",F265*G265)</f>
        <v/>
      </c>
      <c r="I265" s="32"/>
      <c r="J265" s="32"/>
      <c r="K265" s="37"/>
      <c r="L265" s="38" t="str">
        <f aca="false">IF(C265="","",DATE(YEAR(C265),MONTH(C265),1))</f>
        <v/>
      </c>
      <c r="M265" s="34" t="str">
        <f aca="false">IF(F265="","",N(H265)+N(I265)-N(J265))</f>
        <v/>
      </c>
      <c r="N265" s="29"/>
    </row>
    <row r="266" customFormat="false" ht="15" hidden="false" customHeight="false" outlineLevel="0" collapsed="false">
      <c r="A266" s="29"/>
      <c r="B266" s="29"/>
      <c r="C266" s="31"/>
      <c r="D266" s="31"/>
      <c r="E266" s="35" t="str">
        <f aca="false">IF(OR(C266="",D266=""),"",MAX(1,D266-C266))</f>
        <v/>
      </c>
      <c r="F266" s="32"/>
      <c r="G266" s="36" t="str">
        <f aca="false">IF(B266="","",IFERROR(IF(N(INDEX(Fleet!$N$5:$N$79,MATCH(B266,Fleet!$A$5:$A$79,0)))&gt;0,INDEX(Fleet!$N$5:$N$79,MATCH(B266,Fleet!$A$5:$A$79,0)),Assumptions!$B$7),Assumptions!$B$7))</f>
        <v/>
      </c>
      <c r="H266" s="34" t="str">
        <f aca="false">IF(OR(F266="",G266=""),"",F266*G266)</f>
        <v/>
      </c>
      <c r="I266" s="32"/>
      <c r="J266" s="32"/>
      <c r="K266" s="37"/>
      <c r="L266" s="38" t="str">
        <f aca="false">IF(C266="","",DATE(YEAR(C266),MONTH(C266),1))</f>
        <v/>
      </c>
      <c r="M266" s="34" t="str">
        <f aca="false">IF(F266="","",N(H266)+N(I266)-N(J266))</f>
        <v/>
      </c>
      <c r="N266" s="29"/>
    </row>
    <row r="267" customFormat="false" ht="15" hidden="false" customHeight="false" outlineLevel="0" collapsed="false">
      <c r="A267" s="29"/>
      <c r="B267" s="29"/>
      <c r="C267" s="31"/>
      <c r="D267" s="31"/>
      <c r="E267" s="35" t="str">
        <f aca="false">IF(OR(C267="",D267=""),"",MAX(1,D267-C267))</f>
        <v/>
      </c>
      <c r="F267" s="32"/>
      <c r="G267" s="36" t="str">
        <f aca="false">IF(B267="","",IFERROR(IF(N(INDEX(Fleet!$N$5:$N$79,MATCH(B267,Fleet!$A$5:$A$79,0)))&gt;0,INDEX(Fleet!$N$5:$N$79,MATCH(B267,Fleet!$A$5:$A$79,0)),Assumptions!$B$7),Assumptions!$B$7))</f>
        <v/>
      </c>
      <c r="H267" s="34" t="str">
        <f aca="false">IF(OR(F267="",G267=""),"",F267*G267)</f>
        <v/>
      </c>
      <c r="I267" s="32"/>
      <c r="J267" s="32"/>
      <c r="K267" s="37"/>
      <c r="L267" s="38" t="str">
        <f aca="false">IF(C267="","",DATE(YEAR(C267),MONTH(C267),1))</f>
        <v/>
      </c>
      <c r="M267" s="34" t="str">
        <f aca="false">IF(F267="","",N(H267)+N(I267)-N(J267))</f>
        <v/>
      </c>
      <c r="N267" s="29"/>
    </row>
    <row r="268" customFormat="false" ht="15" hidden="false" customHeight="false" outlineLevel="0" collapsed="false">
      <c r="A268" s="29"/>
      <c r="B268" s="29"/>
      <c r="C268" s="31"/>
      <c r="D268" s="31"/>
      <c r="E268" s="35" t="str">
        <f aca="false">IF(OR(C268="",D268=""),"",MAX(1,D268-C268))</f>
        <v/>
      </c>
      <c r="F268" s="32"/>
      <c r="G268" s="36" t="str">
        <f aca="false">IF(B268="","",IFERROR(IF(N(INDEX(Fleet!$N$5:$N$79,MATCH(B268,Fleet!$A$5:$A$79,0)))&gt;0,INDEX(Fleet!$N$5:$N$79,MATCH(B268,Fleet!$A$5:$A$79,0)),Assumptions!$B$7),Assumptions!$B$7))</f>
        <v/>
      </c>
      <c r="H268" s="34" t="str">
        <f aca="false">IF(OR(F268="",G268=""),"",F268*G268)</f>
        <v/>
      </c>
      <c r="I268" s="32"/>
      <c r="J268" s="32"/>
      <c r="K268" s="37"/>
      <c r="L268" s="38" t="str">
        <f aca="false">IF(C268="","",DATE(YEAR(C268),MONTH(C268),1))</f>
        <v/>
      </c>
      <c r="M268" s="34" t="str">
        <f aca="false">IF(F268="","",N(H268)+N(I268)-N(J268))</f>
        <v/>
      </c>
      <c r="N268" s="29"/>
    </row>
    <row r="269" customFormat="false" ht="15" hidden="false" customHeight="false" outlineLevel="0" collapsed="false">
      <c r="A269" s="29"/>
      <c r="B269" s="29"/>
      <c r="C269" s="31"/>
      <c r="D269" s="31"/>
      <c r="E269" s="35" t="str">
        <f aca="false">IF(OR(C269="",D269=""),"",MAX(1,D269-C269))</f>
        <v/>
      </c>
      <c r="F269" s="32"/>
      <c r="G269" s="36" t="str">
        <f aca="false">IF(B269="","",IFERROR(IF(N(INDEX(Fleet!$N$5:$N$79,MATCH(B269,Fleet!$A$5:$A$79,0)))&gt;0,INDEX(Fleet!$N$5:$N$79,MATCH(B269,Fleet!$A$5:$A$79,0)),Assumptions!$B$7),Assumptions!$B$7))</f>
        <v/>
      </c>
      <c r="H269" s="34" t="str">
        <f aca="false">IF(OR(F269="",G269=""),"",F269*G269)</f>
        <v/>
      </c>
      <c r="I269" s="32"/>
      <c r="J269" s="32"/>
      <c r="K269" s="37"/>
      <c r="L269" s="38" t="str">
        <f aca="false">IF(C269="","",DATE(YEAR(C269),MONTH(C269),1))</f>
        <v/>
      </c>
      <c r="M269" s="34" t="str">
        <f aca="false">IF(F269="","",N(H269)+N(I269)-N(J269))</f>
        <v/>
      </c>
      <c r="N269" s="29"/>
    </row>
    <row r="270" customFormat="false" ht="15" hidden="false" customHeight="false" outlineLevel="0" collapsed="false">
      <c r="A270" s="29"/>
      <c r="B270" s="29"/>
      <c r="C270" s="31"/>
      <c r="D270" s="31"/>
      <c r="E270" s="35" t="str">
        <f aca="false">IF(OR(C270="",D270=""),"",MAX(1,D270-C270))</f>
        <v/>
      </c>
      <c r="F270" s="32"/>
      <c r="G270" s="36" t="str">
        <f aca="false">IF(B270="","",IFERROR(IF(N(INDEX(Fleet!$N$5:$N$79,MATCH(B270,Fleet!$A$5:$A$79,0)))&gt;0,INDEX(Fleet!$N$5:$N$79,MATCH(B270,Fleet!$A$5:$A$79,0)),Assumptions!$B$7),Assumptions!$B$7))</f>
        <v/>
      </c>
      <c r="H270" s="34" t="str">
        <f aca="false">IF(OR(F270="",G270=""),"",F270*G270)</f>
        <v/>
      </c>
      <c r="I270" s="32"/>
      <c r="J270" s="32"/>
      <c r="K270" s="37"/>
      <c r="L270" s="38" t="str">
        <f aca="false">IF(C270="","",DATE(YEAR(C270),MONTH(C270),1))</f>
        <v/>
      </c>
      <c r="M270" s="34" t="str">
        <f aca="false">IF(F270="","",N(H270)+N(I270)-N(J270))</f>
        <v/>
      </c>
      <c r="N270" s="29"/>
    </row>
    <row r="271" customFormat="false" ht="15" hidden="false" customHeight="false" outlineLevel="0" collapsed="false">
      <c r="A271" s="29"/>
      <c r="B271" s="29"/>
      <c r="C271" s="31"/>
      <c r="D271" s="31"/>
      <c r="E271" s="35" t="str">
        <f aca="false">IF(OR(C271="",D271=""),"",MAX(1,D271-C271))</f>
        <v/>
      </c>
      <c r="F271" s="32"/>
      <c r="G271" s="36" t="str">
        <f aca="false">IF(B271="","",IFERROR(IF(N(INDEX(Fleet!$N$5:$N$79,MATCH(B271,Fleet!$A$5:$A$79,0)))&gt;0,INDEX(Fleet!$N$5:$N$79,MATCH(B271,Fleet!$A$5:$A$79,0)),Assumptions!$B$7),Assumptions!$B$7))</f>
        <v/>
      </c>
      <c r="H271" s="34" t="str">
        <f aca="false">IF(OR(F271="",G271=""),"",F271*G271)</f>
        <v/>
      </c>
      <c r="I271" s="32"/>
      <c r="J271" s="32"/>
      <c r="K271" s="37"/>
      <c r="L271" s="38" t="str">
        <f aca="false">IF(C271="","",DATE(YEAR(C271),MONTH(C271),1))</f>
        <v/>
      </c>
      <c r="M271" s="34" t="str">
        <f aca="false">IF(F271="","",N(H271)+N(I271)-N(J271))</f>
        <v/>
      </c>
      <c r="N271" s="29"/>
    </row>
    <row r="272" customFormat="false" ht="15" hidden="false" customHeight="false" outlineLevel="0" collapsed="false">
      <c r="A272" s="29"/>
      <c r="B272" s="29"/>
      <c r="C272" s="31"/>
      <c r="D272" s="31"/>
      <c r="E272" s="35" t="str">
        <f aca="false">IF(OR(C272="",D272=""),"",MAX(1,D272-C272))</f>
        <v/>
      </c>
      <c r="F272" s="32"/>
      <c r="G272" s="36" t="str">
        <f aca="false">IF(B272="","",IFERROR(IF(N(INDEX(Fleet!$N$5:$N$79,MATCH(B272,Fleet!$A$5:$A$79,0)))&gt;0,INDEX(Fleet!$N$5:$N$79,MATCH(B272,Fleet!$A$5:$A$79,0)),Assumptions!$B$7),Assumptions!$B$7))</f>
        <v/>
      </c>
      <c r="H272" s="34" t="str">
        <f aca="false">IF(OR(F272="",G272=""),"",F272*G272)</f>
        <v/>
      </c>
      <c r="I272" s="32"/>
      <c r="J272" s="32"/>
      <c r="K272" s="37"/>
      <c r="L272" s="38" t="str">
        <f aca="false">IF(C272="","",DATE(YEAR(C272),MONTH(C272),1))</f>
        <v/>
      </c>
      <c r="M272" s="34" t="str">
        <f aca="false">IF(F272="","",N(H272)+N(I272)-N(J272))</f>
        <v/>
      </c>
      <c r="N272" s="29"/>
    </row>
    <row r="273" customFormat="false" ht="15" hidden="false" customHeight="false" outlineLevel="0" collapsed="false">
      <c r="A273" s="29"/>
      <c r="B273" s="29"/>
      <c r="C273" s="31"/>
      <c r="D273" s="31"/>
      <c r="E273" s="35" t="str">
        <f aca="false">IF(OR(C273="",D273=""),"",MAX(1,D273-C273))</f>
        <v/>
      </c>
      <c r="F273" s="32"/>
      <c r="G273" s="36" t="str">
        <f aca="false">IF(B273="","",IFERROR(IF(N(INDEX(Fleet!$N$5:$N$79,MATCH(B273,Fleet!$A$5:$A$79,0)))&gt;0,INDEX(Fleet!$N$5:$N$79,MATCH(B273,Fleet!$A$5:$A$79,0)),Assumptions!$B$7),Assumptions!$B$7))</f>
        <v/>
      </c>
      <c r="H273" s="34" t="str">
        <f aca="false">IF(OR(F273="",G273=""),"",F273*G273)</f>
        <v/>
      </c>
      <c r="I273" s="32"/>
      <c r="J273" s="32"/>
      <c r="K273" s="37"/>
      <c r="L273" s="38" t="str">
        <f aca="false">IF(C273="","",DATE(YEAR(C273),MONTH(C273),1))</f>
        <v/>
      </c>
      <c r="M273" s="34" t="str">
        <f aca="false">IF(F273="","",N(H273)+N(I273)-N(J273))</f>
        <v/>
      </c>
      <c r="N273" s="29"/>
    </row>
    <row r="274" customFormat="false" ht="15" hidden="false" customHeight="false" outlineLevel="0" collapsed="false">
      <c r="A274" s="29"/>
      <c r="B274" s="29"/>
      <c r="C274" s="31"/>
      <c r="D274" s="31"/>
      <c r="E274" s="35" t="str">
        <f aca="false">IF(OR(C274="",D274=""),"",MAX(1,D274-C274))</f>
        <v/>
      </c>
      <c r="F274" s="32"/>
      <c r="G274" s="36" t="str">
        <f aca="false">IF(B274="","",IFERROR(IF(N(INDEX(Fleet!$N$5:$N$79,MATCH(B274,Fleet!$A$5:$A$79,0)))&gt;0,INDEX(Fleet!$N$5:$N$79,MATCH(B274,Fleet!$A$5:$A$79,0)),Assumptions!$B$7),Assumptions!$B$7))</f>
        <v/>
      </c>
      <c r="H274" s="34" t="str">
        <f aca="false">IF(OR(F274="",G274=""),"",F274*G274)</f>
        <v/>
      </c>
      <c r="I274" s="32"/>
      <c r="J274" s="32"/>
      <c r="K274" s="37"/>
      <c r="L274" s="38" t="str">
        <f aca="false">IF(C274="","",DATE(YEAR(C274),MONTH(C274),1))</f>
        <v/>
      </c>
      <c r="M274" s="34" t="str">
        <f aca="false">IF(F274="","",N(H274)+N(I274)-N(J274))</f>
        <v/>
      </c>
      <c r="N274" s="29"/>
    </row>
    <row r="275" customFormat="false" ht="15" hidden="false" customHeight="false" outlineLevel="0" collapsed="false">
      <c r="A275" s="29"/>
      <c r="B275" s="29"/>
      <c r="C275" s="31"/>
      <c r="D275" s="31"/>
      <c r="E275" s="35" t="str">
        <f aca="false">IF(OR(C275="",D275=""),"",MAX(1,D275-C275))</f>
        <v/>
      </c>
      <c r="F275" s="32"/>
      <c r="G275" s="36" t="str">
        <f aca="false">IF(B275="","",IFERROR(IF(N(INDEX(Fleet!$N$5:$N$79,MATCH(B275,Fleet!$A$5:$A$79,0)))&gt;0,INDEX(Fleet!$N$5:$N$79,MATCH(B275,Fleet!$A$5:$A$79,0)),Assumptions!$B$7),Assumptions!$B$7))</f>
        <v/>
      </c>
      <c r="H275" s="34" t="str">
        <f aca="false">IF(OR(F275="",G275=""),"",F275*G275)</f>
        <v/>
      </c>
      <c r="I275" s="32"/>
      <c r="J275" s="32"/>
      <c r="K275" s="37"/>
      <c r="L275" s="38" t="str">
        <f aca="false">IF(C275="","",DATE(YEAR(C275),MONTH(C275),1))</f>
        <v/>
      </c>
      <c r="M275" s="34" t="str">
        <f aca="false">IF(F275="","",N(H275)+N(I275)-N(J275))</f>
        <v/>
      </c>
      <c r="N275" s="29"/>
    </row>
    <row r="276" customFormat="false" ht="15" hidden="false" customHeight="false" outlineLevel="0" collapsed="false">
      <c r="A276" s="29"/>
      <c r="B276" s="29"/>
      <c r="C276" s="31"/>
      <c r="D276" s="31"/>
      <c r="E276" s="35" t="str">
        <f aca="false">IF(OR(C276="",D276=""),"",MAX(1,D276-C276))</f>
        <v/>
      </c>
      <c r="F276" s="32"/>
      <c r="G276" s="36" t="str">
        <f aca="false">IF(B276="","",IFERROR(IF(N(INDEX(Fleet!$N$5:$N$79,MATCH(B276,Fleet!$A$5:$A$79,0)))&gt;0,INDEX(Fleet!$N$5:$N$79,MATCH(B276,Fleet!$A$5:$A$79,0)),Assumptions!$B$7),Assumptions!$B$7))</f>
        <v/>
      </c>
      <c r="H276" s="34" t="str">
        <f aca="false">IF(OR(F276="",G276=""),"",F276*G276)</f>
        <v/>
      </c>
      <c r="I276" s="32"/>
      <c r="J276" s="32"/>
      <c r="K276" s="37"/>
      <c r="L276" s="38" t="str">
        <f aca="false">IF(C276="","",DATE(YEAR(C276),MONTH(C276),1))</f>
        <v/>
      </c>
      <c r="M276" s="34" t="str">
        <f aca="false">IF(F276="","",N(H276)+N(I276)-N(J276))</f>
        <v/>
      </c>
      <c r="N276" s="29"/>
    </row>
    <row r="277" customFormat="false" ht="15" hidden="false" customHeight="false" outlineLevel="0" collapsed="false">
      <c r="A277" s="29"/>
      <c r="B277" s="29"/>
      <c r="C277" s="31"/>
      <c r="D277" s="31"/>
      <c r="E277" s="35" t="str">
        <f aca="false">IF(OR(C277="",D277=""),"",MAX(1,D277-C277))</f>
        <v/>
      </c>
      <c r="F277" s="32"/>
      <c r="G277" s="36" t="str">
        <f aca="false">IF(B277="","",IFERROR(IF(N(INDEX(Fleet!$N$5:$N$79,MATCH(B277,Fleet!$A$5:$A$79,0)))&gt;0,INDEX(Fleet!$N$5:$N$79,MATCH(B277,Fleet!$A$5:$A$79,0)),Assumptions!$B$7),Assumptions!$B$7))</f>
        <v/>
      </c>
      <c r="H277" s="34" t="str">
        <f aca="false">IF(OR(F277="",G277=""),"",F277*G277)</f>
        <v/>
      </c>
      <c r="I277" s="32"/>
      <c r="J277" s="32"/>
      <c r="K277" s="37"/>
      <c r="L277" s="38" t="str">
        <f aca="false">IF(C277="","",DATE(YEAR(C277),MONTH(C277),1))</f>
        <v/>
      </c>
      <c r="M277" s="34" t="str">
        <f aca="false">IF(F277="","",N(H277)+N(I277)-N(J277))</f>
        <v/>
      </c>
      <c r="N277" s="29"/>
    </row>
    <row r="278" customFormat="false" ht="15" hidden="false" customHeight="false" outlineLevel="0" collapsed="false">
      <c r="A278" s="29"/>
      <c r="B278" s="29"/>
      <c r="C278" s="31"/>
      <c r="D278" s="31"/>
      <c r="E278" s="35" t="str">
        <f aca="false">IF(OR(C278="",D278=""),"",MAX(1,D278-C278))</f>
        <v/>
      </c>
      <c r="F278" s="32"/>
      <c r="G278" s="36" t="str">
        <f aca="false">IF(B278="","",IFERROR(IF(N(INDEX(Fleet!$N$5:$N$79,MATCH(B278,Fleet!$A$5:$A$79,0)))&gt;0,INDEX(Fleet!$N$5:$N$79,MATCH(B278,Fleet!$A$5:$A$79,0)),Assumptions!$B$7),Assumptions!$B$7))</f>
        <v/>
      </c>
      <c r="H278" s="34" t="str">
        <f aca="false">IF(OR(F278="",G278=""),"",F278*G278)</f>
        <v/>
      </c>
      <c r="I278" s="32"/>
      <c r="J278" s="32"/>
      <c r="K278" s="37"/>
      <c r="L278" s="38" t="str">
        <f aca="false">IF(C278="","",DATE(YEAR(C278),MONTH(C278),1))</f>
        <v/>
      </c>
      <c r="M278" s="34" t="str">
        <f aca="false">IF(F278="","",N(H278)+N(I278)-N(J278))</f>
        <v/>
      </c>
      <c r="N278" s="29"/>
    </row>
    <row r="279" customFormat="false" ht="15" hidden="false" customHeight="false" outlineLevel="0" collapsed="false">
      <c r="A279" s="29"/>
      <c r="B279" s="29"/>
      <c r="C279" s="31"/>
      <c r="D279" s="31"/>
      <c r="E279" s="35" t="str">
        <f aca="false">IF(OR(C279="",D279=""),"",MAX(1,D279-C279))</f>
        <v/>
      </c>
      <c r="F279" s="32"/>
      <c r="G279" s="36" t="str">
        <f aca="false">IF(B279="","",IFERROR(IF(N(INDEX(Fleet!$N$5:$N$79,MATCH(B279,Fleet!$A$5:$A$79,0)))&gt;0,INDEX(Fleet!$N$5:$N$79,MATCH(B279,Fleet!$A$5:$A$79,0)),Assumptions!$B$7),Assumptions!$B$7))</f>
        <v/>
      </c>
      <c r="H279" s="34" t="str">
        <f aca="false">IF(OR(F279="",G279=""),"",F279*G279)</f>
        <v/>
      </c>
      <c r="I279" s="32"/>
      <c r="J279" s="32"/>
      <c r="K279" s="37"/>
      <c r="L279" s="38" t="str">
        <f aca="false">IF(C279="","",DATE(YEAR(C279),MONTH(C279),1))</f>
        <v/>
      </c>
      <c r="M279" s="34" t="str">
        <f aca="false">IF(F279="","",N(H279)+N(I279)-N(J279))</f>
        <v/>
      </c>
      <c r="N279" s="29"/>
    </row>
    <row r="280" customFormat="false" ht="15" hidden="false" customHeight="false" outlineLevel="0" collapsed="false">
      <c r="A280" s="29"/>
      <c r="B280" s="29"/>
      <c r="C280" s="31"/>
      <c r="D280" s="31"/>
      <c r="E280" s="35" t="str">
        <f aca="false">IF(OR(C280="",D280=""),"",MAX(1,D280-C280))</f>
        <v/>
      </c>
      <c r="F280" s="32"/>
      <c r="G280" s="36" t="str">
        <f aca="false">IF(B280="","",IFERROR(IF(N(INDEX(Fleet!$N$5:$N$79,MATCH(B280,Fleet!$A$5:$A$79,0)))&gt;0,INDEX(Fleet!$N$5:$N$79,MATCH(B280,Fleet!$A$5:$A$79,0)),Assumptions!$B$7),Assumptions!$B$7))</f>
        <v/>
      </c>
      <c r="H280" s="34" t="str">
        <f aca="false">IF(OR(F280="",G280=""),"",F280*G280)</f>
        <v/>
      </c>
      <c r="I280" s="32"/>
      <c r="J280" s="32"/>
      <c r="K280" s="37"/>
      <c r="L280" s="38" t="str">
        <f aca="false">IF(C280="","",DATE(YEAR(C280),MONTH(C280),1))</f>
        <v/>
      </c>
      <c r="M280" s="34" t="str">
        <f aca="false">IF(F280="","",N(H280)+N(I280)-N(J280))</f>
        <v/>
      </c>
      <c r="N280" s="29"/>
    </row>
    <row r="281" customFormat="false" ht="15" hidden="false" customHeight="false" outlineLevel="0" collapsed="false">
      <c r="A281" s="29"/>
      <c r="B281" s="29"/>
      <c r="C281" s="31"/>
      <c r="D281" s="31"/>
      <c r="E281" s="35" t="str">
        <f aca="false">IF(OR(C281="",D281=""),"",MAX(1,D281-C281))</f>
        <v/>
      </c>
      <c r="F281" s="32"/>
      <c r="G281" s="36" t="str">
        <f aca="false">IF(B281="","",IFERROR(IF(N(INDEX(Fleet!$N$5:$N$79,MATCH(B281,Fleet!$A$5:$A$79,0)))&gt;0,INDEX(Fleet!$N$5:$N$79,MATCH(B281,Fleet!$A$5:$A$79,0)),Assumptions!$B$7),Assumptions!$B$7))</f>
        <v/>
      </c>
      <c r="H281" s="34" t="str">
        <f aca="false">IF(OR(F281="",G281=""),"",F281*G281)</f>
        <v/>
      </c>
      <c r="I281" s="32"/>
      <c r="J281" s="32"/>
      <c r="K281" s="37"/>
      <c r="L281" s="38" t="str">
        <f aca="false">IF(C281="","",DATE(YEAR(C281),MONTH(C281),1))</f>
        <v/>
      </c>
      <c r="M281" s="34" t="str">
        <f aca="false">IF(F281="","",N(H281)+N(I281)-N(J281))</f>
        <v/>
      </c>
      <c r="N281" s="29"/>
    </row>
    <row r="282" customFormat="false" ht="15" hidden="false" customHeight="false" outlineLevel="0" collapsed="false">
      <c r="A282" s="29"/>
      <c r="B282" s="29"/>
      <c r="C282" s="31"/>
      <c r="D282" s="31"/>
      <c r="E282" s="35" t="str">
        <f aca="false">IF(OR(C282="",D282=""),"",MAX(1,D282-C282))</f>
        <v/>
      </c>
      <c r="F282" s="32"/>
      <c r="G282" s="36" t="str">
        <f aca="false">IF(B282="","",IFERROR(IF(N(INDEX(Fleet!$N$5:$N$79,MATCH(B282,Fleet!$A$5:$A$79,0)))&gt;0,INDEX(Fleet!$N$5:$N$79,MATCH(B282,Fleet!$A$5:$A$79,0)),Assumptions!$B$7),Assumptions!$B$7))</f>
        <v/>
      </c>
      <c r="H282" s="34" t="str">
        <f aca="false">IF(OR(F282="",G282=""),"",F282*G282)</f>
        <v/>
      </c>
      <c r="I282" s="32"/>
      <c r="J282" s="32"/>
      <c r="K282" s="37"/>
      <c r="L282" s="38" t="str">
        <f aca="false">IF(C282="","",DATE(YEAR(C282),MONTH(C282),1))</f>
        <v/>
      </c>
      <c r="M282" s="34" t="str">
        <f aca="false">IF(F282="","",N(H282)+N(I282)-N(J282))</f>
        <v/>
      </c>
      <c r="N282" s="29"/>
    </row>
    <row r="283" customFormat="false" ht="15" hidden="false" customHeight="false" outlineLevel="0" collapsed="false">
      <c r="A283" s="29"/>
      <c r="B283" s="29"/>
      <c r="C283" s="31"/>
      <c r="D283" s="31"/>
      <c r="E283" s="35" t="str">
        <f aca="false">IF(OR(C283="",D283=""),"",MAX(1,D283-C283))</f>
        <v/>
      </c>
      <c r="F283" s="32"/>
      <c r="G283" s="36" t="str">
        <f aca="false">IF(B283="","",IFERROR(IF(N(INDEX(Fleet!$N$5:$N$79,MATCH(B283,Fleet!$A$5:$A$79,0)))&gt;0,INDEX(Fleet!$N$5:$N$79,MATCH(B283,Fleet!$A$5:$A$79,0)),Assumptions!$B$7),Assumptions!$B$7))</f>
        <v/>
      </c>
      <c r="H283" s="34" t="str">
        <f aca="false">IF(OR(F283="",G283=""),"",F283*G283)</f>
        <v/>
      </c>
      <c r="I283" s="32"/>
      <c r="J283" s="32"/>
      <c r="K283" s="37"/>
      <c r="L283" s="38" t="str">
        <f aca="false">IF(C283="","",DATE(YEAR(C283),MONTH(C283),1))</f>
        <v/>
      </c>
      <c r="M283" s="34" t="str">
        <f aca="false">IF(F283="","",N(H283)+N(I283)-N(J283))</f>
        <v/>
      </c>
      <c r="N283" s="29"/>
    </row>
    <row r="284" customFormat="false" ht="15" hidden="false" customHeight="false" outlineLevel="0" collapsed="false">
      <c r="A284" s="29"/>
      <c r="B284" s="29"/>
      <c r="C284" s="31"/>
      <c r="D284" s="31"/>
      <c r="E284" s="35" t="str">
        <f aca="false">IF(OR(C284="",D284=""),"",MAX(1,D284-C284))</f>
        <v/>
      </c>
      <c r="F284" s="32"/>
      <c r="G284" s="36" t="str">
        <f aca="false">IF(B284="","",IFERROR(IF(N(INDEX(Fleet!$N$5:$N$79,MATCH(B284,Fleet!$A$5:$A$79,0)))&gt;0,INDEX(Fleet!$N$5:$N$79,MATCH(B284,Fleet!$A$5:$A$79,0)),Assumptions!$B$7),Assumptions!$B$7))</f>
        <v/>
      </c>
      <c r="H284" s="34" t="str">
        <f aca="false">IF(OR(F284="",G284=""),"",F284*G284)</f>
        <v/>
      </c>
      <c r="I284" s="32"/>
      <c r="J284" s="32"/>
      <c r="K284" s="37"/>
      <c r="L284" s="38" t="str">
        <f aca="false">IF(C284="","",DATE(YEAR(C284),MONTH(C284),1))</f>
        <v/>
      </c>
      <c r="M284" s="34" t="str">
        <f aca="false">IF(F284="","",N(H284)+N(I284)-N(J284))</f>
        <v/>
      </c>
      <c r="N284" s="29"/>
    </row>
    <row r="285" customFormat="false" ht="15" hidden="false" customHeight="false" outlineLevel="0" collapsed="false">
      <c r="A285" s="29"/>
      <c r="B285" s="29"/>
      <c r="C285" s="31"/>
      <c r="D285" s="31"/>
      <c r="E285" s="35" t="str">
        <f aca="false">IF(OR(C285="",D285=""),"",MAX(1,D285-C285))</f>
        <v/>
      </c>
      <c r="F285" s="32"/>
      <c r="G285" s="36" t="str">
        <f aca="false">IF(B285="","",IFERROR(IF(N(INDEX(Fleet!$N$5:$N$79,MATCH(B285,Fleet!$A$5:$A$79,0)))&gt;0,INDEX(Fleet!$N$5:$N$79,MATCH(B285,Fleet!$A$5:$A$79,0)),Assumptions!$B$7),Assumptions!$B$7))</f>
        <v/>
      </c>
      <c r="H285" s="34" t="str">
        <f aca="false">IF(OR(F285="",G285=""),"",F285*G285)</f>
        <v/>
      </c>
      <c r="I285" s="32"/>
      <c r="J285" s="32"/>
      <c r="K285" s="37"/>
      <c r="L285" s="38" t="str">
        <f aca="false">IF(C285="","",DATE(YEAR(C285),MONTH(C285),1))</f>
        <v/>
      </c>
      <c r="M285" s="34" t="str">
        <f aca="false">IF(F285="","",N(H285)+N(I285)-N(J285))</f>
        <v/>
      </c>
      <c r="N285" s="29"/>
    </row>
    <row r="286" customFormat="false" ht="15" hidden="false" customHeight="false" outlineLevel="0" collapsed="false">
      <c r="A286" s="29"/>
      <c r="B286" s="29"/>
      <c r="C286" s="31"/>
      <c r="D286" s="31"/>
      <c r="E286" s="35" t="str">
        <f aca="false">IF(OR(C286="",D286=""),"",MAX(1,D286-C286))</f>
        <v/>
      </c>
      <c r="F286" s="32"/>
      <c r="G286" s="36" t="str">
        <f aca="false">IF(B286="","",IFERROR(IF(N(INDEX(Fleet!$N$5:$N$79,MATCH(B286,Fleet!$A$5:$A$79,0)))&gt;0,INDEX(Fleet!$N$5:$N$79,MATCH(B286,Fleet!$A$5:$A$79,0)),Assumptions!$B$7),Assumptions!$B$7))</f>
        <v/>
      </c>
      <c r="H286" s="34" t="str">
        <f aca="false">IF(OR(F286="",G286=""),"",F286*G286)</f>
        <v/>
      </c>
      <c r="I286" s="32"/>
      <c r="J286" s="32"/>
      <c r="K286" s="37"/>
      <c r="L286" s="38" t="str">
        <f aca="false">IF(C286="","",DATE(YEAR(C286),MONTH(C286),1))</f>
        <v/>
      </c>
      <c r="M286" s="34" t="str">
        <f aca="false">IF(F286="","",N(H286)+N(I286)-N(J286))</f>
        <v/>
      </c>
      <c r="N286" s="29"/>
    </row>
    <row r="287" customFormat="false" ht="15" hidden="false" customHeight="false" outlineLevel="0" collapsed="false">
      <c r="A287" s="29"/>
      <c r="B287" s="29"/>
      <c r="C287" s="31"/>
      <c r="D287" s="31"/>
      <c r="E287" s="35" t="str">
        <f aca="false">IF(OR(C287="",D287=""),"",MAX(1,D287-C287))</f>
        <v/>
      </c>
      <c r="F287" s="32"/>
      <c r="G287" s="36" t="str">
        <f aca="false">IF(B287="","",IFERROR(IF(N(INDEX(Fleet!$N$5:$N$79,MATCH(B287,Fleet!$A$5:$A$79,0)))&gt;0,INDEX(Fleet!$N$5:$N$79,MATCH(B287,Fleet!$A$5:$A$79,0)),Assumptions!$B$7),Assumptions!$B$7))</f>
        <v/>
      </c>
      <c r="H287" s="34" t="str">
        <f aca="false">IF(OR(F287="",G287=""),"",F287*G287)</f>
        <v/>
      </c>
      <c r="I287" s="32"/>
      <c r="J287" s="32"/>
      <c r="K287" s="37"/>
      <c r="L287" s="38" t="str">
        <f aca="false">IF(C287="","",DATE(YEAR(C287),MONTH(C287),1))</f>
        <v/>
      </c>
      <c r="M287" s="34" t="str">
        <f aca="false">IF(F287="","",N(H287)+N(I287)-N(J287))</f>
        <v/>
      </c>
      <c r="N287" s="29"/>
    </row>
    <row r="288" customFormat="false" ht="15" hidden="false" customHeight="false" outlineLevel="0" collapsed="false">
      <c r="A288" s="29"/>
      <c r="B288" s="29"/>
      <c r="C288" s="31"/>
      <c r="D288" s="31"/>
      <c r="E288" s="35" t="str">
        <f aca="false">IF(OR(C288="",D288=""),"",MAX(1,D288-C288))</f>
        <v/>
      </c>
      <c r="F288" s="32"/>
      <c r="G288" s="36" t="str">
        <f aca="false">IF(B288="","",IFERROR(IF(N(INDEX(Fleet!$N$5:$N$79,MATCH(B288,Fleet!$A$5:$A$79,0)))&gt;0,INDEX(Fleet!$N$5:$N$79,MATCH(B288,Fleet!$A$5:$A$79,0)),Assumptions!$B$7),Assumptions!$B$7))</f>
        <v/>
      </c>
      <c r="H288" s="34" t="str">
        <f aca="false">IF(OR(F288="",G288=""),"",F288*G288)</f>
        <v/>
      </c>
      <c r="I288" s="32"/>
      <c r="J288" s="32"/>
      <c r="K288" s="37"/>
      <c r="L288" s="38" t="str">
        <f aca="false">IF(C288="","",DATE(YEAR(C288),MONTH(C288),1))</f>
        <v/>
      </c>
      <c r="M288" s="34" t="str">
        <f aca="false">IF(F288="","",N(H288)+N(I288)-N(J288))</f>
        <v/>
      </c>
      <c r="N288" s="29"/>
    </row>
    <row r="289" customFormat="false" ht="15" hidden="false" customHeight="false" outlineLevel="0" collapsed="false">
      <c r="A289" s="29"/>
      <c r="B289" s="29"/>
      <c r="C289" s="31"/>
      <c r="D289" s="31"/>
      <c r="E289" s="35" t="str">
        <f aca="false">IF(OR(C289="",D289=""),"",MAX(1,D289-C289))</f>
        <v/>
      </c>
      <c r="F289" s="32"/>
      <c r="G289" s="36" t="str">
        <f aca="false">IF(B289="","",IFERROR(IF(N(INDEX(Fleet!$N$5:$N$79,MATCH(B289,Fleet!$A$5:$A$79,0)))&gt;0,INDEX(Fleet!$N$5:$N$79,MATCH(B289,Fleet!$A$5:$A$79,0)),Assumptions!$B$7),Assumptions!$B$7))</f>
        <v/>
      </c>
      <c r="H289" s="34" t="str">
        <f aca="false">IF(OR(F289="",G289=""),"",F289*G289)</f>
        <v/>
      </c>
      <c r="I289" s="32"/>
      <c r="J289" s="32"/>
      <c r="K289" s="37"/>
      <c r="L289" s="38" t="str">
        <f aca="false">IF(C289="","",DATE(YEAR(C289),MONTH(C289),1))</f>
        <v/>
      </c>
      <c r="M289" s="34" t="str">
        <f aca="false">IF(F289="","",N(H289)+N(I289)-N(J289))</f>
        <v/>
      </c>
      <c r="N289" s="29"/>
    </row>
    <row r="290" customFormat="false" ht="15" hidden="false" customHeight="false" outlineLevel="0" collapsed="false">
      <c r="A290" s="29"/>
      <c r="B290" s="29"/>
      <c r="C290" s="31"/>
      <c r="D290" s="31"/>
      <c r="E290" s="35" t="str">
        <f aca="false">IF(OR(C290="",D290=""),"",MAX(1,D290-C290))</f>
        <v/>
      </c>
      <c r="F290" s="32"/>
      <c r="G290" s="36" t="str">
        <f aca="false">IF(B290="","",IFERROR(IF(N(INDEX(Fleet!$N$5:$N$79,MATCH(B290,Fleet!$A$5:$A$79,0)))&gt;0,INDEX(Fleet!$N$5:$N$79,MATCH(B290,Fleet!$A$5:$A$79,0)),Assumptions!$B$7),Assumptions!$B$7))</f>
        <v/>
      </c>
      <c r="H290" s="34" t="str">
        <f aca="false">IF(OR(F290="",G290=""),"",F290*G290)</f>
        <v/>
      </c>
      <c r="I290" s="32"/>
      <c r="J290" s="32"/>
      <c r="K290" s="37"/>
      <c r="L290" s="38" t="str">
        <f aca="false">IF(C290="","",DATE(YEAR(C290),MONTH(C290),1))</f>
        <v/>
      </c>
      <c r="M290" s="34" t="str">
        <f aca="false">IF(F290="","",N(H290)+N(I290)-N(J290))</f>
        <v/>
      </c>
      <c r="N290" s="29"/>
    </row>
    <row r="291" customFormat="false" ht="15" hidden="false" customHeight="false" outlineLevel="0" collapsed="false">
      <c r="A291" s="29"/>
      <c r="B291" s="29"/>
      <c r="C291" s="31"/>
      <c r="D291" s="31"/>
      <c r="E291" s="35" t="str">
        <f aca="false">IF(OR(C291="",D291=""),"",MAX(1,D291-C291))</f>
        <v/>
      </c>
      <c r="F291" s="32"/>
      <c r="G291" s="36" t="str">
        <f aca="false">IF(B291="","",IFERROR(IF(N(INDEX(Fleet!$N$5:$N$79,MATCH(B291,Fleet!$A$5:$A$79,0)))&gt;0,INDEX(Fleet!$N$5:$N$79,MATCH(B291,Fleet!$A$5:$A$79,0)),Assumptions!$B$7),Assumptions!$B$7))</f>
        <v/>
      </c>
      <c r="H291" s="34" t="str">
        <f aca="false">IF(OR(F291="",G291=""),"",F291*G291)</f>
        <v/>
      </c>
      <c r="I291" s="32"/>
      <c r="J291" s="32"/>
      <c r="K291" s="37"/>
      <c r="L291" s="38" t="str">
        <f aca="false">IF(C291="","",DATE(YEAR(C291),MONTH(C291),1))</f>
        <v/>
      </c>
      <c r="M291" s="34" t="str">
        <f aca="false">IF(F291="","",N(H291)+N(I291)-N(J291))</f>
        <v/>
      </c>
      <c r="N291" s="29"/>
    </row>
    <row r="292" customFormat="false" ht="15" hidden="false" customHeight="false" outlineLevel="0" collapsed="false">
      <c r="A292" s="29"/>
      <c r="B292" s="29"/>
      <c r="C292" s="31"/>
      <c r="D292" s="31"/>
      <c r="E292" s="35" t="str">
        <f aca="false">IF(OR(C292="",D292=""),"",MAX(1,D292-C292))</f>
        <v/>
      </c>
      <c r="F292" s="32"/>
      <c r="G292" s="36" t="str">
        <f aca="false">IF(B292="","",IFERROR(IF(N(INDEX(Fleet!$N$5:$N$79,MATCH(B292,Fleet!$A$5:$A$79,0)))&gt;0,INDEX(Fleet!$N$5:$N$79,MATCH(B292,Fleet!$A$5:$A$79,0)),Assumptions!$B$7),Assumptions!$B$7))</f>
        <v/>
      </c>
      <c r="H292" s="34" t="str">
        <f aca="false">IF(OR(F292="",G292=""),"",F292*G292)</f>
        <v/>
      </c>
      <c r="I292" s="32"/>
      <c r="J292" s="32"/>
      <c r="K292" s="37"/>
      <c r="L292" s="38" t="str">
        <f aca="false">IF(C292="","",DATE(YEAR(C292),MONTH(C292),1))</f>
        <v/>
      </c>
      <c r="M292" s="34" t="str">
        <f aca="false">IF(F292="","",N(H292)+N(I292)-N(J292))</f>
        <v/>
      </c>
      <c r="N292" s="29"/>
    </row>
    <row r="293" customFormat="false" ht="15" hidden="false" customHeight="false" outlineLevel="0" collapsed="false">
      <c r="A293" s="29"/>
      <c r="B293" s="29"/>
      <c r="C293" s="31"/>
      <c r="D293" s="31"/>
      <c r="E293" s="35" t="str">
        <f aca="false">IF(OR(C293="",D293=""),"",MAX(1,D293-C293))</f>
        <v/>
      </c>
      <c r="F293" s="32"/>
      <c r="G293" s="36" t="str">
        <f aca="false">IF(B293="","",IFERROR(IF(N(INDEX(Fleet!$N$5:$N$79,MATCH(B293,Fleet!$A$5:$A$79,0)))&gt;0,INDEX(Fleet!$N$5:$N$79,MATCH(B293,Fleet!$A$5:$A$79,0)),Assumptions!$B$7),Assumptions!$B$7))</f>
        <v/>
      </c>
      <c r="H293" s="34" t="str">
        <f aca="false">IF(OR(F293="",G293=""),"",F293*G293)</f>
        <v/>
      </c>
      <c r="I293" s="32"/>
      <c r="J293" s="32"/>
      <c r="K293" s="37"/>
      <c r="L293" s="38" t="str">
        <f aca="false">IF(C293="","",DATE(YEAR(C293),MONTH(C293),1))</f>
        <v/>
      </c>
      <c r="M293" s="34" t="str">
        <f aca="false">IF(F293="","",N(H293)+N(I293)-N(J293))</f>
        <v/>
      </c>
      <c r="N293" s="29"/>
    </row>
    <row r="294" customFormat="false" ht="15" hidden="false" customHeight="false" outlineLevel="0" collapsed="false">
      <c r="A294" s="29"/>
      <c r="B294" s="29"/>
      <c r="C294" s="31"/>
      <c r="D294" s="31"/>
      <c r="E294" s="35" t="str">
        <f aca="false">IF(OR(C294="",D294=""),"",MAX(1,D294-C294))</f>
        <v/>
      </c>
      <c r="F294" s="32"/>
      <c r="G294" s="36" t="str">
        <f aca="false">IF(B294="","",IFERROR(IF(N(INDEX(Fleet!$N$5:$N$79,MATCH(B294,Fleet!$A$5:$A$79,0)))&gt;0,INDEX(Fleet!$N$5:$N$79,MATCH(B294,Fleet!$A$5:$A$79,0)),Assumptions!$B$7),Assumptions!$B$7))</f>
        <v/>
      </c>
      <c r="H294" s="34" t="str">
        <f aca="false">IF(OR(F294="",G294=""),"",F294*G294)</f>
        <v/>
      </c>
      <c r="I294" s="32"/>
      <c r="J294" s="32"/>
      <c r="K294" s="37"/>
      <c r="L294" s="38" t="str">
        <f aca="false">IF(C294="","",DATE(YEAR(C294),MONTH(C294),1))</f>
        <v/>
      </c>
      <c r="M294" s="34" t="str">
        <f aca="false">IF(F294="","",N(H294)+N(I294)-N(J294))</f>
        <v/>
      </c>
      <c r="N294" s="29"/>
    </row>
    <row r="295" customFormat="false" ht="15" hidden="false" customHeight="false" outlineLevel="0" collapsed="false">
      <c r="A295" s="29"/>
      <c r="B295" s="29"/>
      <c r="C295" s="31"/>
      <c r="D295" s="31"/>
      <c r="E295" s="35" t="str">
        <f aca="false">IF(OR(C295="",D295=""),"",MAX(1,D295-C295))</f>
        <v/>
      </c>
      <c r="F295" s="32"/>
      <c r="G295" s="36" t="str">
        <f aca="false">IF(B295="","",IFERROR(IF(N(INDEX(Fleet!$N$5:$N$79,MATCH(B295,Fleet!$A$5:$A$79,0)))&gt;0,INDEX(Fleet!$N$5:$N$79,MATCH(B295,Fleet!$A$5:$A$79,0)),Assumptions!$B$7),Assumptions!$B$7))</f>
        <v/>
      </c>
      <c r="H295" s="34" t="str">
        <f aca="false">IF(OR(F295="",G295=""),"",F295*G295)</f>
        <v/>
      </c>
      <c r="I295" s="32"/>
      <c r="J295" s="32"/>
      <c r="K295" s="37"/>
      <c r="L295" s="38" t="str">
        <f aca="false">IF(C295="","",DATE(YEAR(C295),MONTH(C295),1))</f>
        <v/>
      </c>
      <c r="M295" s="34" t="str">
        <f aca="false">IF(F295="","",N(H295)+N(I295)-N(J295))</f>
        <v/>
      </c>
      <c r="N295" s="29"/>
    </row>
    <row r="296" customFormat="false" ht="15" hidden="false" customHeight="false" outlineLevel="0" collapsed="false">
      <c r="A296" s="29"/>
      <c r="B296" s="29"/>
      <c r="C296" s="31"/>
      <c r="D296" s="31"/>
      <c r="E296" s="35" t="str">
        <f aca="false">IF(OR(C296="",D296=""),"",MAX(1,D296-C296))</f>
        <v/>
      </c>
      <c r="F296" s="32"/>
      <c r="G296" s="36" t="str">
        <f aca="false">IF(B296="","",IFERROR(IF(N(INDEX(Fleet!$N$5:$N$79,MATCH(B296,Fleet!$A$5:$A$79,0)))&gt;0,INDEX(Fleet!$N$5:$N$79,MATCH(B296,Fleet!$A$5:$A$79,0)),Assumptions!$B$7),Assumptions!$B$7))</f>
        <v/>
      </c>
      <c r="H296" s="34" t="str">
        <f aca="false">IF(OR(F296="",G296=""),"",F296*G296)</f>
        <v/>
      </c>
      <c r="I296" s="32"/>
      <c r="J296" s="32"/>
      <c r="K296" s="37"/>
      <c r="L296" s="38" t="str">
        <f aca="false">IF(C296="","",DATE(YEAR(C296),MONTH(C296),1))</f>
        <v/>
      </c>
      <c r="M296" s="34" t="str">
        <f aca="false">IF(F296="","",N(H296)+N(I296)-N(J296))</f>
        <v/>
      </c>
      <c r="N296" s="29"/>
    </row>
    <row r="297" customFormat="false" ht="15" hidden="false" customHeight="false" outlineLevel="0" collapsed="false">
      <c r="A297" s="29"/>
      <c r="B297" s="29"/>
      <c r="C297" s="31"/>
      <c r="D297" s="31"/>
      <c r="E297" s="35" t="str">
        <f aca="false">IF(OR(C297="",D297=""),"",MAX(1,D297-C297))</f>
        <v/>
      </c>
      <c r="F297" s="32"/>
      <c r="G297" s="36" t="str">
        <f aca="false">IF(B297="","",IFERROR(IF(N(INDEX(Fleet!$N$5:$N$79,MATCH(B297,Fleet!$A$5:$A$79,0)))&gt;0,INDEX(Fleet!$N$5:$N$79,MATCH(B297,Fleet!$A$5:$A$79,0)),Assumptions!$B$7),Assumptions!$B$7))</f>
        <v/>
      </c>
      <c r="H297" s="34" t="str">
        <f aca="false">IF(OR(F297="",G297=""),"",F297*G297)</f>
        <v/>
      </c>
      <c r="I297" s="32"/>
      <c r="J297" s="32"/>
      <c r="K297" s="37"/>
      <c r="L297" s="38" t="str">
        <f aca="false">IF(C297="","",DATE(YEAR(C297),MONTH(C297),1))</f>
        <v/>
      </c>
      <c r="M297" s="34" t="str">
        <f aca="false">IF(F297="","",N(H297)+N(I297)-N(J297))</f>
        <v/>
      </c>
      <c r="N297" s="29"/>
    </row>
    <row r="298" customFormat="false" ht="15" hidden="false" customHeight="false" outlineLevel="0" collapsed="false">
      <c r="A298" s="29"/>
      <c r="B298" s="29"/>
      <c r="C298" s="31"/>
      <c r="D298" s="31"/>
      <c r="E298" s="35" t="str">
        <f aca="false">IF(OR(C298="",D298=""),"",MAX(1,D298-C298))</f>
        <v/>
      </c>
      <c r="F298" s="32"/>
      <c r="G298" s="36" t="str">
        <f aca="false">IF(B298="","",IFERROR(IF(N(INDEX(Fleet!$N$5:$N$79,MATCH(B298,Fleet!$A$5:$A$79,0)))&gt;0,INDEX(Fleet!$N$5:$N$79,MATCH(B298,Fleet!$A$5:$A$79,0)),Assumptions!$B$7),Assumptions!$B$7))</f>
        <v/>
      </c>
      <c r="H298" s="34" t="str">
        <f aca="false">IF(OR(F298="",G298=""),"",F298*G298)</f>
        <v/>
      </c>
      <c r="I298" s="32"/>
      <c r="J298" s="32"/>
      <c r="K298" s="37"/>
      <c r="L298" s="38" t="str">
        <f aca="false">IF(C298="","",DATE(YEAR(C298),MONTH(C298),1))</f>
        <v/>
      </c>
      <c r="M298" s="34" t="str">
        <f aca="false">IF(F298="","",N(H298)+N(I298)-N(J298))</f>
        <v/>
      </c>
      <c r="N298" s="29"/>
    </row>
    <row r="299" customFormat="false" ht="15" hidden="false" customHeight="false" outlineLevel="0" collapsed="false">
      <c r="A299" s="29"/>
      <c r="B299" s="29"/>
      <c r="C299" s="31"/>
      <c r="D299" s="31"/>
      <c r="E299" s="35" t="str">
        <f aca="false">IF(OR(C299="",D299=""),"",MAX(1,D299-C299))</f>
        <v/>
      </c>
      <c r="F299" s="32"/>
      <c r="G299" s="36" t="str">
        <f aca="false">IF(B299="","",IFERROR(IF(N(INDEX(Fleet!$N$5:$N$79,MATCH(B299,Fleet!$A$5:$A$79,0)))&gt;0,INDEX(Fleet!$N$5:$N$79,MATCH(B299,Fleet!$A$5:$A$79,0)),Assumptions!$B$7),Assumptions!$B$7))</f>
        <v/>
      </c>
      <c r="H299" s="34" t="str">
        <f aca="false">IF(OR(F299="",G299=""),"",F299*G299)</f>
        <v/>
      </c>
      <c r="I299" s="32"/>
      <c r="J299" s="32"/>
      <c r="K299" s="37"/>
      <c r="L299" s="38" t="str">
        <f aca="false">IF(C299="","",DATE(YEAR(C299),MONTH(C299),1))</f>
        <v/>
      </c>
      <c r="M299" s="34" t="str">
        <f aca="false">IF(F299="","",N(H299)+N(I299)-N(J299))</f>
        <v/>
      </c>
      <c r="N299" s="29"/>
    </row>
    <row r="300" customFormat="false" ht="15" hidden="false" customHeight="false" outlineLevel="0" collapsed="false">
      <c r="A300" s="29"/>
      <c r="B300" s="29"/>
      <c r="C300" s="31"/>
      <c r="D300" s="31"/>
      <c r="E300" s="35" t="str">
        <f aca="false">IF(OR(C300="",D300=""),"",MAX(1,D300-C300))</f>
        <v/>
      </c>
      <c r="F300" s="32"/>
      <c r="G300" s="36" t="str">
        <f aca="false">IF(B300="","",IFERROR(IF(N(INDEX(Fleet!$N$5:$N$79,MATCH(B300,Fleet!$A$5:$A$79,0)))&gt;0,INDEX(Fleet!$N$5:$N$79,MATCH(B300,Fleet!$A$5:$A$79,0)),Assumptions!$B$7),Assumptions!$B$7))</f>
        <v/>
      </c>
      <c r="H300" s="34" t="str">
        <f aca="false">IF(OR(F300="",G300=""),"",F300*G300)</f>
        <v/>
      </c>
      <c r="I300" s="32"/>
      <c r="J300" s="32"/>
      <c r="K300" s="37"/>
      <c r="L300" s="38" t="str">
        <f aca="false">IF(C300="","",DATE(YEAR(C300),MONTH(C300),1))</f>
        <v/>
      </c>
      <c r="M300" s="34" t="str">
        <f aca="false">IF(F300="","",N(H300)+N(I300)-N(J300))</f>
        <v/>
      </c>
      <c r="N300" s="29"/>
    </row>
    <row r="301" customFormat="false" ht="15" hidden="false" customHeight="false" outlineLevel="0" collapsed="false">
      <c r="A301" s="29"/>
      <c r="B301" s="29"/>
      <c r="C301" s="31"/>
      <c r="D301" s="31"/>
      <c r="E301" s="35" t="str">
        <f aca="false">IF(OR(C301="",D301=""),"",MAX(1,D301-C301))</f>
        <v/>
      </c>
      <c r="F301" s="32"/>
      <c r="G301" s="36" t="str">
        <f aca="false">IF(B301="","",IFERROR(IF(N(INDEX(Fleet!$N$5:$N$79,MATCH(B301,Fleet!$A$5:$A$79,0)))&gt;0,INDEX(Fleet!$N$5:$N$79,MATCH(B301,Fleet!$A$5:$A$79,0)),Assumptions!$B$7),Assumptions!$B$7))</f>
        <v/>
      </c>
      <c r="H301" s="34" t="str">
        <f aca="false">IF(OR(F301="",G301=""),"",F301*G301)</f>
        <v/>
      </c>
      <c r="I301" s="32"/>
      <c r="J301" s="32"/>
      <c r="K301" s="37"/>
      <c r="L301" s="38" t="str">
        <f aca="false">IF(C301="","",DATE(YEAR(C301),MONTH(C301),1))</f>
        <v/>
      </c>
      <c r="M301" s="34" t="str">
        <f aca="false">IF(F301="","",N(H301)+N(I301)-N(J301))</f>
        <v/>
      </c>
      <c r="N301" s="29"/>
    </row>
    <row r="302" customFormat="false" ht="15" hidden="false" customHeight="false" outlineLevel="0" collapsed="false">
      <c r="A302" s="29"/>
      <c r="B302" s="29"/>
      <c r="C302" s="31"/>
      <c r="D302" s="31"/>
      <c r="E302" s="35" t="str">
        <f aca="false">IF(OR(C302="",D302=""),"",MAX(1,D302-C302))</f>
        <v/>
      </c>
      <c r="F302" s="32"/>
      <c r="G302" s="36" t="str">
        <f aca="false">IF(B302="","",IFERROR(IF(N(INDEX(Fleet!$N$5:$N$79,MATCH(B302,Fleet!$A$5:$A$79,0)))&gt;0,INDEX(Fleet!$N$5:$N$79,MATCH(B302,Fleet!$A$5:$A$79,0)),Assumptions!$B$7),Assumptions!$B$7))</f>
        <v/>
      </c>
      <c r="H302" s="34" t="str">
        <f aca="false">IF(OR(F302="",G302=""),"",F302*G302)</f>
        <v/>
      </c>
      <c r="I302" s="32"/>
      <c r="J302" s="32"/>
      <c r="K302" s="37"/>
      <c r="L302" s="38" t="str">
        <f aca="false">IF(C302="","",DATE(YEAR(C302),MONTH(C302),1))</f>
        <v/>
      </c>
      <c r="M302" s="34" t="str">
        <f aca="false">IF(F302="","",N(H302)+N(I302)-N(J302))</f>
        <v/>
      </c>
      <c r="N302" s="29"/>
    </row>
    <row r="303" customFormat="false" ht="15" hidden="false" customHeight="false" outlineLevel="0" collapsed="false">
      <c r="A303" s="29"/>
      <c r="B303" s="29"/>
      <c r="C303" s="31"/>
      <c r="D303" s="31"/>
      <c r="E303" s="35" t="str">
        <f aca="false">IF(OR(C303="",D303=""),"",MAX(1,D303-C303))</f>
        <v/>
      </c>
      <c r="F303" s="32"/>
      <c r="G303" s="36" t="str">
        <f aca="false">IF(B303="","",IFERROR(IF(N(INDEX(Fleet!$N$5:$N$79,MATCH(B303,Fleet!$A$5:$A$79,0)))&gt;0,INDEX(Fleet!$N$5:$N$79,MATCH(B303,Fleet!$A$5:$A$79,0)),Assumptions!$B$7),Assumptions!$B$7))</f>
        <v/>
      </c>
      <c r="H303" s="34" t="str">
        <f aca="false">IF(OR(F303="",G303=""),"",F303*G303)</f>
        <v/>
      </c>
      <c r="I303" s="32"/>
      <c r="J303" s="32"/>
      <c r="K303" s="37"/>
      <c r="L303" s="38" t="str">
        <f aca="false">IF(C303="","",DATE(YEAR(C303),MONTH(C303),1))</f>
        <v/>
      </c>
      <c r="M303" s="34" t="str">
        <f aca="false">IF(F303="","",N(H303)+N(I303)-N(J303))</f>
        <v/>
      </c>
      <c r="N303" s="29"/>
    </row>
    <row r="304" customFormat="false" ht="15" hidden="false" customHeight="false" outlineLevel="0" collapsed="false">
      <c r="A304" s="29"/>
      <c r="B304" s="29"/>
      <c r="C304" s="31"/>
      <c r="D304" s="31"/>
      <c r="E304" s="35" t="str">
        <f aca="false">IF(OR(C304="",D304=""),"",MAX(1,D304-C304))</f>
        <v/>
      </c>
      <c r="F304" s="32"/>
      <c r="G304" s="36" t="str">
        <f aca="false">IF(B304="","",IFERROR(IF(N(INDEX(Fleet!$N$5:$N$79,MATCH(B304,Fleet!$A$5:$A$79,0)))&gt;0,INDEX(Fleet!$N$5:$N$79,MATCH(B304,Fleet!$A$5:$A$79,0)),Assumptions!$B$7),Assumptions!$B$7))</f>
        <v/>
      </c>
      <c r="H304" s="34" t="str">
        <f aca="false">IF(OR(F304="",G304=""),"",F304*G304)</f>
        <v/>
      </c>
      <c r="I304" s="32"/>
      <c r="J304" s="32"/>
      <c r="K304" s="37"/>
      <c r="L304" s="38" t="str">
        <f aca="false">IF(C304="","",DATE(YEAR(C304),MONTH(C304),1))</f>
        <v/>
      </c>
      <c r="M304" s="34" t="str">
        <f aca="false">IF(F304="","",N(H304)+N(I304)-N(J304))</f>
        <v/>
      </c>
      <c r="N304" s="29"/>
    </row>
    <row r="305" customFormat="false" ht="15" hidden="false" customHeight="false" outlineLevel="0" collapsed="false">
      <c r="A305" s="29"/>
      <c r="B305" s="29"/>
      <c r="C305" s="31"/>
      <c r="D305" s="31"/>
      <c r="E305" s="35" t="str">
        <f aca="false">IF(OR(C305="",D305=""),"",MAX(1,D305-C305))</f>
        <v/>
      </c>
      <c r="F305" s="32"/>
      <c r="G305" s="36" t="str">
        <f aca="false">IF(B305="","",IFERROR(IF(N(INDEX(Fleet!$N$5:$N$79,MATCH(B305,Fleet!$A$5:$A$79,0)))&gt;0,INDEX(Fleet!$N$5:$N$79,MATCH(B305,Fleet!$A$5:$A$79,0)),Assumptions!$B$7),Assumptions!$B$7))</f>
        <v/>
      </c>
      <c r="H305" s="34" t="str">
        <f aca="false">IF(OR(F305="",G305=""),"",F305*G305)</f>
        <v/>
      </c>
      <c r="I305" s="32"/>
      <c r="J305" s="32"/>
      <c r="K305" s="37"/>
      <c r="L305" s="38" t="str">
        <f aca="false">IF(C305="","",DATE(YEAR(C305),MONTH(C305),1))</f>
        <v/>
      </c>
      <c r="M305" s="34" t="str">
        <f aca="false">IF(F305="","",N(H305)+N(I305)-N(J305))</f>
        <v/>
      </c>
      <c r="N305" s="29"/>
    </row>
    <row r="306" customFormat="false" ht="15" hidden="false" customHeight="false" outlineLevel="0" collapsed="false">
      <c r="A306" s="29"/>
      <c r="B306" s="29"/>
      <c r="C306" s="31"/>
      <c r="D306" s="31"/>
      <c r="E306" s="35" t="str">
        <f aca="false">IF(OR(C306="",D306=""),"",MAX(1,D306-C306))</f>
        <v/>
      </c>
      <c r="F306" s="32"/>
      <c r="G306" s="36" t="str">
        <f aca="false">IF(B306="","",IFERROR(IF(N(INDEX(Fleet!$N$5:$N$79,MATCH(B306,Fleet!$A$5:$A$79,0)))&gt;0,INDEX(Fleet!$N$5:$N$79,MATCH(B306,Fleet!$A$5:$A$79,0)),Assumptions!$B$7),Assumptions!$B$7))</f>
        <v/>
      </c>
      <c r="H306" s="34" t="str">
        <f aca="false">IF(OR(F306="",G306=""),"",F306*G306)</f>
        <v/>
      </c>
      <c r="I306" s="32"/>
      <c r="J306" s="32"/>
      <c r="K306" s="37"/>
      <c r="L306" s="38" t="str">
        <f aca="false">IF(C306="","",DATE(YEAR(C306),MONTH(C306),1))</f>
        <v/>
      </c>
      <c r="M306" s="34" t="str">
        <f aca="false">IF(F306="","",N(H306)+N(I306)-N(J306))</f>
        <v/>
      </c>
      <c r="N306" s="29"/>
    </row>
    <row r="307" customFormat="false" ht="15" hidden="false" customHeight="false" outlineLevel="0" collapsed="false">
      <c r="A307" s="29"/>
      <c r="B307" s="29"/>
      <c r="C307" s="31"/>
      <c r="D307" s="31"/>
      <c r="E307" s="35" t="str">
        <f aca="false">IF(OR(C307="",D307=""),"",MAX(1,D307-C307))</f>
        <v/>
      </c>
      <c r="F307" s="32"/>
      <c r="G307" s="36" t="str">
        <f aca="false">IF(B307="","",IFERROR(IF(N(INDEX(Fleet!$N$5:$N$79,MATCH(B307,Fleet!$A$5:$A$79,0)))&gt;0,INDEX(Fleet!$N$5:$N$79,MATCH(B307,Fleet!$A$5:$A$79,0)),Assumptions!$B$7),Assumptions!$B$7))</f>
        <v/>
      </c>
      <c r="H307" s="34" t="str">
        <f aca="false">IF(OR(F307="",G307=""),"",F307*G307)</f>
        <v/>
      </c>
      <c r="I307" s="32"/>
      <c r="J307" s="32"/>
      <c r="K307" s="37"/>
      <c r="L307" s="38" t="str">
        <f aca="false">IF(C307="","",DATE(YEAR(C307),MONTH(C307),1))</f>
        <v/>
      </c>
      <c r="M307" s="34" t="str">
        <f aca="false">IF(F307="","",N(H307)+N(I307)-N(J307))</f>
        <v/>
      </c>
      <c r="N307" s="29"/>
    </row>
    <row r="308" customFormat="false" ht="15" hidden="false" customHeight="false" outlineLevel="0" collapsed="false">
      <c r="A308" s="29"/>
      <c r="B308" s="29"/>
      <c r="C308" s="31"/>
      <c r="D308" s="31"/>
      <c r="E308" s="35" t="str">
        <f aca="false">IF(OR(C308="",D308=""),"",MAX(1,D308-C308))</f>
        <v/>
      </c>
      <c r="F308" s="32"/>
      <c r="G308" s="36" t="str">
        <f aca="false">IF(B308="","",IFERROR(IF(N(INDEX(Fleet!$N$5:$N$79,MATCH(B308,Fleet!$A$5:$A$79,0)))&gt;0,INDEX(Fleet!$N$5:$N$79,MATCH(B308,Fleet!$A$5:$A$79,0)),Assumptions!$B$7),Assumptions!$B$7))</f>
        <v/>
      </c>
      <c r="H308" s="34" t="str">
        <f aca="false">IF(OR(F308="",G308=""),"",F308*G308)</f>
        <v/>
      </c>
      <c r="I308" s="32"/>
      <c r="J308" s="32"/>
      <c r="K308" s="37"/>
      <c r="L308" s="38" t="str">
        <f aca="false">IF(C308="","",DATE(YEAR(C308),MONTH(C308),1))</f>
        <v/>
      </c>
      <c r="M308" s="34" t="str">
        <f aca="false">IF(F308="","",N(H308)+N(I308)-N(J308))</f>
        <v/>
      </c>
      <c r="N308" s="29"/>
    </row>
    <row r="309" customFormat="false" ht="15" hidden="false" customHeight="false" outlineLevel="0" collapsed="false">
      <c r="A309" s="29"/>
      <c r="B309" s="29"/>
      <c r="C309" s="31"/>
      <c r="D309" s="31"/>
      <c r="E309" s="35" t="str">
        <f aca="false">IF(OR(C309="",D309=""),"",MAX(1,D309-C309))</f>
        <v/>
      </c>
      <c r="F309" s="32"/>
      <c r="G309" s="36" t="str">
        <f aca="false">IF(B309="","",IFERROR(IF(N(INDEX(Fleet!$N$5:$N$79,MATCH(B309,Fleet!$A$5:$A$79,0)))&gt;0,INDEX(Fleet!$N$5:$N$79,MATCH(B309,Fleet!$A$5:$A$79,0)),Assumptions!$B$7),Assumptions!$B$7))</f>
        <v/>
      </c>
      <c r="H309" s="34" t="str">
        <f aca="false">IF(OR(F309="",G309=""),"",F309*G309)</f>
        <v/>
      </c>
      <c r="I309" s="32"/>
      <c r="J309" s="32"/>
      <c r="K309" s="37"/>
      <c r="L309" s="38" t="str">
        <f aca="false">IF(C309="","",DATE(YEAR(C309),MONTH(C309),1))</f>
        <v/>
      </c>
      <c r="M309" s="34" t="str">
        <f aca="false">IF(F309="","",N(H309)+N(I309)-N(J309))</f>
        <v/>
      </c>
      <c r="N309" s="29"/>
    </row>
    <row r="310" customFormat="false" ht="15" hidden="false" customHeight="false" outlineLevel="0" collapsed="false">
      <c r="A310" s="29"/>
      <c r="B310" s="29"/>
      <c r="C310" s="31"/>
      <c r="D310" s="31"/>
      <c r="E310" s="35" t="str">
        <f aca="false">IF(OR(C310="",D310=""),"",MAX(1,D310-C310))</f>
        <v/>
      </c>
      <c r="F310" s="32"/>
      <c r="G310" s="36" t="str">
        <f aca="false">IF(B310="","",IFERROR(IF(N(INDEX(Fleet!$N$5:$N$79,MATCH(B310,Fleet!$A$5:$A$79,0)))&gt;0,INDEX(Fleet!$N$5:$N$79,MATCH(B310,Fleet!$A$5:$A$79,0)),Assumptions!$B$7),Assumptions!$B$7))</f>
        <v/>
      </c>
      <c r="H310" s="34" t="str">
        <f aca="false">IF(OR(F310="",G310=""),"",F310*G310)</f>
        <v/>
      </c>
      <c r="I310" s="32"/>
      <c r="J310" s="32"/>
      <c r="K310" s="37"/>
      <c r="L310" s="38" t="str">
        <f aca="false">IF(C310="","",DATE(YEAR(C310),MONTH(C310),1))</f>
        <v/>
      </c>
      <c r="M310" s="34" t="str">
        <f aca="false">IF(F310="","",N(H310)+N(I310)-N(J310))</f>
        <v/>
      </c>
      <c r="N310" s="29"/>
    </row>
    <row r="311" customFormat="false" ht="15" hidden="false" customHeight="false" outlineLevel="0" collapsed="false">
      <c r="A311" s="29"/>
      <c r="B311" s="29"/>
      <c r="C311" s="31"/>
      <c r="D311" s="31"/>
      <c r="E311" s="35" t="str">
        <f aca="false">IF(OR(C311="",D311=""),"",MAX(1,D311-C311))</f>
        <v/>
      </c>
      <c r="F311" s="32"/>
      <c r="G311" s="36" t="str">
        <f aca="false">IF(B311="","",IFERROR(IF(N(INDEX(Fleet!$N$5:$N$79,MATCH(B311,Fleet!$A$5:$A$79,0)))&gt;0,INDEX(Fleet!$N$5:$N$79,MATCH(B311,Fleet!$A$5:$A$79,0)),Assumptions!$B$7),Assumptions!$B$7))</f>
        <v/>
      </c>
      <c r="H311" s="34" t="str">
        <f aca="false">IF(OR(F311="",G311=""),"",F311*G311)</f>
        <v/>
      </c>
      <c r="I311" s="32"/>
      <c r="J311" s="32"/>
      <c r="K311" s="37"/>
      <c r="L311" s="38" t="str">
        <f aca="false">IF(C311="","",DATE(YEAR(C311),MONTH(C311),1))</f>
        <v/>
      </c>
      <c r="M311" s="34" t="str">
        <f aca="false">IF(F311="","",N(H311)+N(I311)-N(J311))</f>
        <v/>
      </c>
      <c r="N311" s="29"/>
    </row>
    <row r="312" customFormat="false" ht="15" hidden="false" customHeight="false" outlineLevel="0" collapsed="false">
      <c r="A312" s="29"/>
      <c r="B312" s="29"/>
      <c r="C312" s="31"/>
      <c r="D312" s="31"/>
      <c r="E312" s="35" t="str">
        <f aca="false">IF(OR(C312="",D312=""),"",MAX(1,D312-C312))</f>
        <v/>
      </c>
      <c r="F312" s="32"/>
      <c r="G312" s="36" t="str">
        <f aca="false">IF(B312="","",IFERROR(IF(N(INDEX(Fleet!$N$5:$N$79,MATCH(B312,Fleet!$A$5:$A$79,0)))&gt;0,INDEX(Fleet!$N$5:$N$79,MATCH(B312,Fleet!$A$5:$A$79,0)),Assumptions!$B$7),Assumptions!$B$7))</f>
        <v/>
      </c>
      <c r="H312" s="34" t="str">
        <f aca="false">IF(OR(F312="",G312=""),"",F312*G312)</f>
        <v/>
      </c>
      <c r="I312" s="32"/>
      <c r="J312" s="32"/>
      <c r="K312" s="37"/>
      <c r="L312" s="38" t="str">
        <f aca="false">IF(C312="","",DATE(YEAR(C312),MONTH(C312),1))</f>
        <v/>
      </c>
      <c r="M312" s="34" t="str">
        <f aca="false">IF(F312="","",N(H312)+N(I312)-N(J312))</f>
        <v/>
      </c>
      <c r="N312" s="29"/>
    </row>
    <row r="313" customFormat="false" ht="15" hidden="false" customHeight="false" outlineLevel="0" collapsed="false">
      <c r="A313" s="29"/>
      <c r="B313" s="29"/>
      <c r="C313" s="31"/>
      <c r="D313" s="31"/>
      <c r="E313" s="35" t="str">
        <f aca="false">IF(OR(C313="",D313=""),"",MAX(1,D313-C313))</f>
        <v/>
      </c>
      <c r="F313" s="32"/>
      <c r="G313" s="36" t="str">
        <f aca="false">IF(B313="","",IFERROR(IF(N(INDEX(Fleet!$N$5:$N$79,MATCH(B313,Fleet!$A$5:$A$79,0)))&gt;0,INDEX(Fleet!$N$5:$N$79,MATCH(B313,Fleet!$A$5:$A$79,0)),Assumptions!$B$7),Assumptions!$B$7))</f>
        <v/>
      </c>
      <c r="H313" s="34" t="str">
        <f aca="false">IF(OR(F313="",G313=""),"",F313*G313)</f>
        <v/>
      </c>
      <c r="I313" s="32"/>
      <c r="J313" s="32"/>
      <c r="K313" s="37"/>
      <c r="L313" s="38" t="str">
        <f aca="false">IF(C313="","",DATE(YEAR(C313),MONTH(C313),1))</f>
        <v/>
      </c>
      <c r="M313" s="34" t="str">
        <f aca="false">IF(F313="","",N(H313)+N(I313)-N(J313))</f>
        <v/>
      </c>
      <c r="N313" s="29"/>
    </row>
    <row r="314" customFormat="false" ht="15" hidden="false" customHeight="false" outlineLevel="0" collapsed="false">
      <c r="A314" s="29"/>
      <c r="B314" s="29"/>
      <c r="C314" s="31"/>
      <c r="D314" s="31"/>
      <c r="E314" s="35" t="str">
        <f aca="false">IF(OR(C314="",D314=""),"",MAX(1,D314-C314))</f>
        <v/>
      </c>
      <c r="F314" s="32"/>
      <c r="G314" s="36" t="str">
        <f aca="false">IF(B314="","",IFERROR(IF(N(INDEX(Fleet!$N$5:$N$79,MATCH(B314,Fleet!$A$5:$A$79,0)))&gt;0,INDEX(Fleet!$N$5:$N$79,MATCH(B314,Fleet!$A$5:$A$79,0)),Assumptions!$B$7),Assumptions!$B$7))</f>
        <v/>
      </c>
      <c r="H314" s="34" t="str">
        <f aca="false">IF(OR(F314="",G314=""),"",F314*G314)</f>
        <v/>
      </c>
      <c r="I314" s="32"/>
      <c r="J314" s="32"/>
      <c r="K314" s="37"/>
      <c r="L314" s="38" t="str">
        <f aca="false">IF(C314="","",DATE(YEAR(C314),MONTH(C314),1))</f>
        <v/>
      </c>
      <c r="M314" s="34" t="str">
        <f aca="false">IF(F314="","",N(H314)+N(I314)-N(J314))</f>
        <v/>
      </c>
      <c r="N314" s="29"/>
    </row>
    <row r="315" customFormat="false" ht="15" hidden="false" customHeight="false" outlineLevel="0" collapsed="false">
      <c r="A315" s="29"/>
      <c r="B315" s="29"/>
      <c r="C315" s="31"/>
      <c r="D315" s="31"/>
      <c r="E315" s="35" t="str">
        <f aca="false">IF(OR(C315="",D315=""),"",MAX(1,D315-C315))</f>
        <v/>
      </c>
      <c r="F315" s="32"/>
      <c r="G315" s="36" t="str">
        <f aca="false">IF(B315="","",IFERROR(IF(N(INDEX(Fleet!$N$5:$N$79,MATCH(B315,Fleet!$A$5:$A$79,0)))&gt;0,INDEX(Fleet!$N$5:$N$79,MATCH(B315,Fleet!$A$5:$A$79,0)),Assumptions!$B$7),Assumptions!$B$7))</f>
        <v/>
      </c>
      <c r="H315" s="34" t="str">
        <f aca="false">IF(OR(F315="",G315=""),"",F315*G315)</f>
        <v/>
      </c>
      <c r="I315" s="32"/>
      <c r="J315" s="32"/>
      <c r="K315" s="37"/>
      <c r="L315" s="38" t="str">
        <f aca="false">IF(C315="","",DATE(YEAR(C315),MONTH(C315),1))</f>
        <v/>
      </c>
      <c r="M315" s="34" t="str">
        <f aca="false">IF(F315="","",N(H315)+N(I315)-N(J315))</f>
        <v/>
      </c>
      <c r="N315" s="29"/>
    </row>
    <row r="316" customFormat="false" ht="15" hidden="false" customHeight="false" outlineLevel="0" collapsed="false">
      <c r="A316" s="29"/>
      <c r="B316" s="29"/>
      <c r="C316" s="31"/>
      <c r="D316" s="31"/>
      <c r="E316" s="35" t="str">
        <f aca="false">IF(OR(C316="",D316=""),"",MAX(1,D316-C316))</f>
        <v/>
      </c>
      <c r="F316" s="32"/>
      <c r="G316" s="36" t="str">
        <f aca="false">IF(B316="","",IFERROR(IF(N(INDEX(Fleet!$N$5:$N$79,MATCH(B316,Fleet!$A$5:$A$79,0)))&gt;0,INDEX(Fleet!$N$5:$N$79,MATCH(B316,Fleet!$A$5:$A$79,0)),Assumptions!$B$7),Assumptions!$B$7))</f>
        <v/>
      </c>
      <c r="H316" s="34" t="str">
        <f aca="false">IF(OR(F316="",G316=""),"",F316*G316)</f>
        <v/>
      </c>
      <c r="I316" s="32"/>
      <c r="J316" s="32"/>
      <c r="K316" s="37"/>
      <c r="L316" s="38" t="str">
        <f aca="false">IF(C316="","",DATE(YEAR(C316),MONTH(C316),1))</f>
        <v/>
      </c>
      <c r="M316" s="34" t="str">
        <f aca="false">IF(F316="","",N(H316)+N(I316)-N(J316))</f>
        <v/>
      </c>
      <c r="N316" s="29"/>
    </row>
    <row r="317" customFormat="false" ht="15" hidden="false" customHeight="false" outlineLevel="0" collapsed="false">
      <c r="A317" s="29"/>
      <c r="B317" s="29"/>
      <c r="C317" s="31"/>
      <c r="D317" s="31"/>
      <c r="E317" s="35" t="str">
        <f aca="false">IF(OR(C317="",D317=""),"",MAX(1,D317-C317))</f>
        <v/>
      </c>
      <c r="F317" s="32"/>
      <c r="G317" s="36" t="str">
        <f aca="false">IF(B317="","",IFERROR(IF(N(INDEX(Fleet!$N$5:$N$79,MATCH(B317,Fleet!$A$5:$A$79,0)))&gt;0,INDEX(Fleet!$N$5:$N$79,MATCH(B317,Fleet!$A$5:$A$79,0)),Assumptions!$B$7),Assumptions!$B$7))</f>
        <v/>
      </c>
      <c r="H317" s="34" t="str">
        <f aca="false">IF(OR(F317="",G317=""),"",F317*G317)</f>
        <v/>
      </c>
      <c r="I317" s="32"/>
      <c r="J317" s="32"/>
      <c r="K317" s="37"/>
      <c r="L317" s="38" t="str">
        <f aca="false">IF(C317="","",DATE(YEAR(C317),MONTH(C317),1))</f>
        <v/>
      </c>
      <c r="M317" s="34" t="str">
        <f aca="false">IF(F317="","",N(H317)+N(I317)-N(J317))</f>
        <v/>
      </c>
      <c r="N317" s="29"/>
    </row>
    <row r="318" customFormat="false" ht="15" hidden="false" customHeight="false" outlineLevel="0" collapsed="false">
      <c r="A318" s="29"/>
      <c r="B318" s="29"/>
      <c r="C318" s="31"/>
      <c r="D318" s="31"/>
      <c r="E318" s="35" t="str">
        <f aca="false">IF(OR(C318="",D318=""),"",MAX(1,D318-C318))</f>
        <v/>
      </c>
      <c r="F318" s="32"/>
      <c r="G318" s="36" t="str">
        <f aca="false">IF(B318="","",IFERROR(IF(N(INDEX(Fleet!$N$5:$N$79,MATCH(B318,Fleet!$A$5:$A$79,0)))&gt;0,INDEX(Fleet!$N$5:$N$79,MATCH(B318,Fleet!$A$5:$A$79,0)),Assumptions!$B$7),Assumptions!$B$7))</f>
        <v/>
      </c>
      <c r="H318" s="34" t="str">
        <f aca="false">IF(OR(F318="",G318=""),"",F318*G318)</f>
        <v/>
      </c>
      <c r="I318" s="32"/>
      <c r="J318" s="32"/>
      <c r="K318" s="37"/>
      <c r="L318" s="38" t="str">
        <f aca="false">IF(C318="","",DATE(YEAR(C318),MONTH(C318),1))</f>
        <v/>
      </c>
      <c r="M318" s="34" t="str">
        <f aca="false">IF(F318="","",N(H318)+N(I318)-N(J318))</f>
        <v/>
      </c>
      <c r="N318" s="29"/>
    </row>
    <row r="319" customFormat="false" ht="15" hidden="false" customHeight="false" outlineLevel="0" collapsed="false">
      <c r="A319" s="29"/>
      <c r="B319" s="29"/>
      <c r="C319" s="31"/>
      <c r="D319" s="31"/>
      <c r="E319" s="35" t="str">
        <f aca="false">IF(OR(C319="",D319=""),"",MAX(1,D319-C319))</f>
        <v/>
      </c>
      <c r="F319" s="32"/>
      <c r="G319" s="36" t="str">
        <f aca="false">IF(B319="","",IFERROR(IF(N(INDEX(Fleet!$N$5:$N$79,MATCH(B319,Fleet!$A$5:$A$79,0)))&gt;0,INDEX(Fleet!$N$5:$N$79,MATCH(B319,Fleet!$A$5:$A$79,0)),Assumptions!$B$7),Assumptions!$B$7))</f>
        <v/>
      </c>
      <c r="H319" s="34" t="str">
        <f aca="false">IF(OR(F319="",G319=""),"",F319*G319)</f>
        <v/>
      </c>
      <c r="I319" s="32"/>
      <c r="J319" s="32"/>
      <c r="K319" s="37"/>
      <c r="L319" s="38" t="str">
        <f aca="false">IF(C319="","",DATE(YEAR(C319),MONTH(C319),1))</f>
        <v/>
      </c>
      <c r="M319" s="34" t="str">
        <f aca="false">IF(F319="","",N(H319)+N(I319)-N(J319))</f>
        <v/>
      </c>
      <c r="N319" s="29"/>
    </row>
    <row r="320" customFormat="false" ht="15" hidden="false" customHeight="false" outlineLevel="0" collapsed="false">
      <c r="A320" s="29"/>
      <c r="B320" s="29"/>
      <c r="C320" s="31"/>
      <c r="D320" s="31"/>
      <c r="E320" s="35" t="str">
        <f aca="false">IF(OR(C320="",D320=""),"",MAX(1,D320-C320))</f>
        <v/>
      </c>
      <c r="F320" s="32"/>
      <c r="G320" s="36" t="str">
        <f aca="false">IF(B320="","",IFERROR(IF(N(INDEX(Fleet!$N$5:$N$79,MATCH(B320,Fleet!$A$5:$A$79,0)))&gt;0,INDEX(Fleet!$N$5:$N$79,MATCH(B320,Fleet!$A$5:$A$79,0)),Assumptions!$B$7),Assumptions!$B$7))</f>
        <v/>
      </c>
      <c r="H320" s="34" t="str">
        <f aca="false">IF(OR(F320="",G320=""),"",F320*G320)</f>
        <v/>
      </c>
      <c r="I320" s="32"/>
      <c r="J320" s="32"/>
      <c r="K320" s="37"/>
      <c r="L320" s="38" t="str">
        <f aca="false">IF(C320="","",DATE(YEAR(C320),MONTH(C320),1))</f>
        <v/>
      </c>
      <c r="M320" s="34" t="str">
        <f aca="false">IF(F320="","",N(H320)+N(I320)-N(J320))</f>
        <v/>
      </c>
      <c r="N320" s="29"/>
    </row>
    <row r="321" customFormat="false" ht="15" hidden="false" customHeight="false" outlineLevel="0" collapsed="false">
      <c r="A321" s="29"/>
      <c r="B321" s="29"/>
      <c r="C321" s="31"/>
      <c r="D321" s="31"/>
      <c r="E321" s="35" t="str">
        <f aca="false">IF(OR(C321="",D321=""),"",MAX(1,D321-C321))</f>
        <v/>
      </c>
      <c r="F321" s="32"/>
      <c r="G321" s="36" t="str">
        <f aca="false">IF(B321="","",IFERROR(IF(N(INDEX(Fleet!$N$5:$N$79,MATCH(B321,Fleet!$A$5:$A$79,0)))&gt;0,INDEX(Fleet!$N$5:$N$79,MATCH(B321,Fleet!$A$5:$A$79,0)),Assumptions!$B$7),Assumptions!$B$7))</f>
        <v/>
      </c>
      <c r="H321" s="34" t="str">
        <f aca="false">IF(OR(F321="",G321=""),"",F321*G321)</f>
        <v/>
      </c>
      <c r="I321" s="32"/>
      <c r="J321" s="32"/>
      <c r="K321" s="37"/>
      <c r="L321" s="38" t="str">
        <f aca="false">IF(C321="","",DATE(YEAR(C321),MONTH(C321),1))</f>
        <v/>
      </c>
      <c r="M321" s="34" t="str">
        <f aca="false">IF(F321="","",N(H321)+N(I321)-N(J321))</f>
        <v/>
      </c>
      <c r="N321" s="29"/>
    </row>
    <row r="322" customFormat="false" ht="15" hidden="false" customHeight="false" outlineLevel="0" collapsed="false">
      <c r="A322" s="29"/>
      <c r="B322" s="29"/>
      <c r="C322" s="31"/>
      <c r="D322" s="31"/>
      <c r="E322" s="35" t="str">
        <f aca="false">IF(OR(C322="",D322=""),"",MAX(1,D322-C322))</f>
        <v/>
      </c>
      <c r="F322" s="32"/>
      <c r="G322" s="36" t="str">
        <f aca="false">IF(B322="","",IFERROR(IF(N(INDEX(Fleet!$N$5:$N$79,MATCH(B322,Fleet!$A$5:$A$79,0)))&gt;0,INDEX(Fleet!$N$5:$N$79,MATCH(B322,Fleet!$A$5:$A$79,0)),Assumptions!$B$7),Assumptions!$B$7))</f>
        <v/>
      </c>
      <c r="H322" s="34" t="str">
        <f aca="false">IF(OR(F322="",G322=""),"",F322*G322)</f>
        <v/>
      </c>
      <c r="I322" s="32"/>
      <c r="J322" s="32"/>
      <c r="K322" s="37"/>
      <c r="L322" s="38" t="str">
        <f aca="false">IF(C322="","",DATE(YEAR(C322),MONTH(C322),1))</f>
        <v/>
      </c>
      <c r="M322" s="34" t="str">
        <f aca="false">IF(F322="","",N(H322)+N(I322)-N(J322))</f>
        <v/>
      </c>
      <c r="N322" s="29"/>
    </row>
    <row r="323" customFormat="false" ht="15" hidden="false" customHeight="false" outlineLevel="0" collapsed="false">
      <c r="A323" s="29"/>
      <c r="B323" s="29"/>
      <c r="C323" s="31"/>
      <c r="D323" s="31"/>
      <c r="E323" s="35" t="str">
        <f aca="false">IF(OR(C323="",D323=""),"",MAX(1,D323-C323))</f>
        <v/>
      </c>
      <c r="F323" s="32"/>
      <c r="G323" s="36" t="str">
        <f aca="false">IF(B323="","",IFERROR(IF(N(INDEX(Fleet!$N$5:$N$79,MATCH(B323,Fleet!$A$5:$A$79,0)))&gt;0,INDEX(Fleet!$N$5:$N$79,MATCH(B323,Fleet!$A$5:$A$79,0)),Assumptions!$B$7),Assumptions!$B$7))</f>
        <v/>
      </c>
      <c r="H323" s="34" t="str">
        <f aca="false">IF(OR(F323="",G323=""),"",F323*G323)</f>
        <v/>
      </c>
      <c r="I323" s="32"/>
      <c r="J323" s="32"/>
      <c r="K323" s="37"/>
      <c r="L323" s="38" t="str">
        <f aca="false">IF(C323="","",DATE(YEAR(C323),MONTH(C323),1))</f>
        <v/>
      </c>
      <c r="M323" s="34" t="str">
        <f aca="false">IF(F323="","",N(H323)+N(I323)-N(J323))</f>
        <v/>
      </c>
      <c r="N323" s="29"/>
    </row>
    <row r="324" customFormat="false" ht="15" hidden="false" customHeight="false" outlineLevel="0" collapsed="false">
      <c r="A324" s="29"/>
      <c r="B324" s="29"/>
      <c r="C324" s="31"/>
      <c r="D324" s="31"/>
      <c r="E324" s="35" t="str">
        <f aca="false">IF(OR(C324="",D324=""),"",MAX(1,D324-C324))</f>
        <v/>
      </c>
      <c r="F324" s="32"/>
      <c r="G324" s="36" t="str">
        <f aca="false">IF(B324="","",IFERROR(IF(N(INDEX(Fleet!$N$5:$N$79,MATCH(B324,Fleet!$A$5:$A$79,0)))&gt;0,INDEX(Fleet!$N$5:$N$79,MATCH(B324,Fleet!$A$5:$A$79,0)),Assumptions!$B$7),Assumptions!$B$7))</f>
        <v/>
      </c>
      <c r="H324" s="34" t="str">
        <f aca="false">IF(OR(F324="",G324=""),"",F324*G324)</f>
        <v/>
      </c>
      <c r="I324" s="32"/>
      <c r="J324" s="32"/>
      <c r="K324" s="37"/>
      <c r="L324" s="38" t="str">
        <f aca="false">IF(C324="","",DATE(YEAR(C324),MONTH(C324),1))</f>
        <v/>
      </c>
      <c r="M324" s="34" t="str">
        <f aca="false">IF(F324="","",N(H324)+N(I324)-N(J324))</f>
        <v/>
      </c>
      <c r="N324" s="29"/>
    </row>
    <row r="325" customFormat="false" ht="15" hidden="false" customHeight="false" outlineLevel="0" collapsed="false">
      <c r="A325" s="29"/>
      <c r="B325" s="29"/>
      <c r="C325" s="31"/>
      <c r="D325" s="31"/>
      <c r="E325" s="35" t="str">
        <f aca="false">IF(OR(C325="",D325=""),"",MAX(1,D325-C325))</f>
        <v/>
      </c>
      <c r="F325" s="32"/>
      <c r="G325" s="36" t="str">
        <f aca="false">IF(B325="","",IFERROR(IF(N(INDEX(Fleet!$N$5:$N$79,MATCH(B325,Fleet!$A$5:$A$79,0)))&gt;0,INDEX(Fleet!$N$5:$N$79,MATCH(B325,Fleet!$A$5:$A$79,0)),Assumptions!$B$7),Assumptions!$B$7))</f>
        <v/>
      </c>
      <c r="H325" s="34" t="str">
        <f aca="false">IF(OR(F325="",G325=""),"",F325*G325)</f>
        <v/>
      </c>
      <c r="I325" s="32"/>
      <c r="J325" s="32"/>
      <c r="K325" s="37"/>
      <c r="L325" s="38" t="str">
        <f aca="false">IF(C325="","",DATE(YEAR(C325),MONTH(C325),1))</f>
        <v/>
      </c>
      <c r="M325" s="34" t="str">
        <f aca="false">IF(F325="","",N(H325)+N(I325)-N(J325))</f>
        <v/>
      </c>
      <c r="N325" s="29"/>
    </row>
    <row r="326" customFormat="false" ht="15" hidden="false" customHeight="false" outlineLevel="0" collapsed="false">
      <c r="A326" s="29"/>
      <c r="B326" s="29"/>
      <c r="C326" s="31"/>
      <c r="D326" s="31"/>
      <c r="E326" s="35" t="str">
        <f aca="false">IF(OR(C326="",D326=""),"",MAX(1,D326-C326))</f>
        <v/>
      </c>
      <c r="F326" s="32"/>
      <c r="G326" s="36" t="str">
        <f aca="false">IF(B326="","",IFERROR(IF(N(INDEX(Fleet!$N$5:$N$79,MATCH(B326,Fleet!$A$5:$A$79,0)))&gt;0,INDEX(Fleet!$N$5:$N$79,MATCH(B326,Fleet!$A$5:$A$79,0)),Assumptions!$B$7),Assumptions!$B$7))</f>
        <v/>
      </c>
      <c r="H326" s="34" t="str">
        <f aca="false">IF(OR(F326="",G326=""),"",F326*G326)</f>
        <v/>
      </c>
      <c r="I326" s="32"/>
      <c r="J326" s="32"/>
      <c r="K326" s="37"/>
      <c r="L326" s="38" t="str">
        <f aca="false">IF(C326="","",DATE(YEAR(C326),MONTH(C326),1))</f>
        <v/>
      </c>
      <c r="M326" s="34" t="str">
        <f aca="false">IF(F326="","",N(H326)+N(I326)-N(J326))</f>
        <v/>
      </c>
      <c r="N326" s="29"/>
    </row>
    <row r="327" customFormat="false" ht="15" hidden="false" customHeight="false" outlineLevel="0" collapsed="false">
      <c r="A327" s="29"/>
      <c r="B327" s="29"/>
      <c r="C327" s="31"/>
      <c r="D327" s="31"/>
      <c r="E327" s="35" t="str">
        <f aca="false">IF(OR(C327="",D327=""),"",MAX(1,D327-C327))</f>
        <v/>
      </c>
      <c r="F327" s="32"/>
      <c r="G327" s="36" t="str">
        <f aca="false">IF(B327="","",IFERROR(IF(N(INDEX(Fleet!$N$5:$N$79,MATCH(B327,Fleet!$A$5:$A$79,0)))&gt;0,INDEX(Fleet!$N$5:$N$79,MATCH(B327,Fleet!$A$5:$A$79,0)),Assumptions!$B$7),Assumptions!$B$7))</f>
        <v/>
      </c>
      <c r="H327" s="34" t="str">
        <f aca="false">IF(OR(F327="",G327=""),"",F327*G327)</f>
        <v/>
      </c>
      <c r="I327" s="32"/>
      <c r="J327" s="32"/>
      <c r="K327" s="37"/>
      <c r="L327" s="38" t="str">
        <f aca="false">IF(C327="","",DATE(YEAR(C327),MONTH(C327),1))</f>
        <v/>
      </c>
      <c r="M327" s="34" t="str">
        <f aca="false">IF(F327="","",N(H327)+N(I327)-N(J327))</f>
        <v/>
      </c>
      <c r="N327" s="29"/>
    </row>
    <row r="328" customFormat="false" ht="15" hidden="false" customHeight="false" outlineLevel="0" collapsed="false">
      <c r="A328" s="29"/>
      <c r="B328" s="29"/>
      <c r="C328" s="31"/>
      <c r="D328" s="31"/>
      <c r="E328" s="35" t="str">
        <f aca="false">IF(OR(C328="",D328=""),"",MAX(1,D328-C328))</f>
        <v/>
      </c>
      <c r="F328" s="32"/>
      <c r="G328" s="36" t="str">
        <f aca="false">IF(B328="","",IFERROR(IF(N(INDEX(Fleet!$N$5:$N$79,MATCH(B328,Fleet!$A$5:$A$79,0)))&gt;0,INDEX(Fleet!$N$5:$N$79,MATCH(B328,Fleet!$A$5:$A$79,0)),Assumptions!$B$7),Assumptions!$B$7))</f>
        <v/>
      </c>
      <c r="H328" s="34" t="str">
        <f aca="false">IF(OR(F328="",G328=""),"",F328*G328)</f>
        <v/>
      </c>
      <c r="I328" s="32"/>
      <c r="J328" s="32"/>
      <c r="K328" s="37"/>
      <c r="L328" s="38" t="str">
        <f aca="false">IF(C328="","",DATE(YEAR(C328),MONTH(C328),1))</f>
        <v/>
      </c>
      <c r="M328" s="34" t="str">
        <f aca="false">IF(F328="","",N(H328)+N(I328)-N(J328))</f>
        <v/>
      </c>
      <c r="N328" s="29"/>
    </row>
    <row r="329" customFormat="false" ht="15" hidden="false" customHeight="false" outlineLevel="0" collapsed="false">
      <c r="A329" s="29"/>
      <c r="B329" s="29"/>
      <c r="C329" s="31"/>
      <c r="D329" s="31"/>
      <c r="E329" s="35" t="str">
        <f aca="false">IF(OR(C329="",D329=""),"",MAX(1,D329-C329))</f>
        <v/>
      </c>
      <c r="F329" s="32"/>
      <c r="G329" s="36" t="str">
        <f aca="false">IF(B329="","",IFERROR(IF(N(INDEX(Fleet!$N$5:$N$79,MATCH(B329,Fleet!$A$5:$A$79,0)))&gt;0,INDEX(Fleet!$N$5:$N$79,MATCH(B329,Fleet!$A$5:$A$79,0)),Assumptions!$B$7),Assumptions!$B$7))</f>
        <v/>
      </c>
      <c r="H329" s="34" t="str">
        <f aca="false">IF(OR(F329="",G329=""),"",F329*G329)</f>
        <v/>
      </c>
      <c r="I329" s="32"/>
      <c r="J329" s="32"/>
      <c r="K329" s="37"/>
      <c r="L329" s="38" t="str">
        <f aca="false">IF(C329="","",DATE(YEAR(C329),MONTH(C329),1))</f>
        <v/>
      </c>
      <c r="M329" s="34" t="str">
        <f aca="false">IF(F329="","",N(H329)+N(I329)-N(J329))</f>
        <v/>
      </c>
      <c r="N329" s="29"/>
    </row>
    <row r="330" customFormat="false" ht="15" hidden="false" customHeight="false" outlineLevel="0" collapsed="false">
      <c r="A330" s="29"/>
      <c r="B330" s="29"/>
      <c r="C330" s="31"/>
      <c r="D330" s="31"/>
      <c r="E330" s="35" t="str">
        <f aca="false">IF(OR(C330="",D330=""),"",MAX(1,D330-C330))</f>
        <v/>
      </c>
      <c r="F330" s="32"/>
      <c r="G330" s="36" t="str">
        <f aca="false">IF(B330="","",IFERROR(IF(N(INDEX(Fleet!$N$5:$N$79,MATCH(B330,Fleet!$A$5:$A$79,0)))&gt;0,INDEX(Fleet!$N$5:$N$79,MATCH(B330,Fleet!$A$5:$A$79,0)),Assumptions!$B$7),Assumptions!$B$7))</f>
        <v/>
      </c>
      <c r="H330" s="34" t="str">
        <f aca="false">IF(OR(F330="",G330=""),"",F330*G330)</f>
        <v/>
      </c>
      <c r="I330" s="32"/>
      <c r="J330" s="32"/>
      <c r="K330" s="37"/>
      <c r="L330" s="38" t="str">
        <f aca="false">IF(C330="","",DATE(YEAR(C330),MONTH(C330),1))</f>
        <v/>
      </c>
      <c r="M330" s="34" t="str">
        <f aca="false">IF(F330="","",N(H330)+N(I330)-N(J330))</f>
        <v/>
      </c>
      <c r="N330" s="29"/>
    </row>
    <row r="331" customFormat="false" ht="15" hidden="false" customHeight="false" outlineLevel="0" collapsed="false">
      <c r="A331" s="29"/>
      <c r="B331" s="29"/>
      <c r="C331" s="31"/>
      <c r="D331" s="31"/>
      <c r="E331" s="35" t="str">
        <f aca="false">IF(OR(C331="",D331=""),"",MAX(1,D331-C331))</f>
        <v/>
      </c>
      <c r="F331" s="32"/>
      <c r="G331" s="36" t="str">
        <f aca="false">IF(B331="","",IFERROR(IF(N(INDEX(Fleet!$N$5:$N$79,MATCH(B331,Fleet!$A$5:$A$79,0)))&gt;0,INDEX(Fleet!$N$5:$N$79,MATCH(B331,Fleet!$A$5:$A$79,0)),Assumptions!$B$7),Assumptions!$B$7))</f>
        <v/>
      </c>
      <c r="H331" s="34" t="str">
        <f aca="false">IF(OR(F331="",G331=""),"",F331*G331)</f>
        <v/>
      </c>
      <c r="I331" s="32"/>
      <c r="J331" s="32"/>
      <c r="K331" s="37"/>
      <c r="L331" s="38" t="str">
        <f aca="false">IF(C331="","",DATE(YEAR(C331),MONTH(C331),1))</f>
        <v/>
      </c>
      <c r="M331" s="34" t="str">
        <f aca="false">IF(F331="","",N(H331)+N(I331)-N(J331))</f>
        <v/>
      </c>
      <c r="N331" s="29"/>
    </row>
    <row r="332" customFormat="false" ht="15" hidden="false" customHeight="false" outlineLevel="0" collapsed="false">
      <c r="A332" s="29"/>
      <c r="B332" s="29"/>
      <c r="C332" s="31"/>
      <c r="D332" s="31"/>
      <c r="E332" s="35" t="str">
        <f aca="false">IF(OR(C332="",D332=""),"",MAX(1,D332-C332))</f>
        <v/>
      </c>
      <c r="F332" s="32"/>
      <c r="G332" s="36" t="str">
        <f aca="false">IF(B332="","",IFERROR(IF(N(INDEX(Fleet!$N$5:$N$79,MATCH(B332,Fleet!$A$5:$A$79,0)))&gt;0,INDEX(Fleet!$N$5:$N$79,MATCH(B332,Fleet!$A$5:$A$79,0)),Assumptions!$B$7),Assumptions!$B$7))</f>
        <v/>
      </c>
      <c r="H332" s="34" t="str">
        <f aca="false">IF(OR(F332="",G332=""),"",F332*G332)</f>
        <v/>
      </c>
      <c r="I332" s="32"/>
      <c r="J332" s="32"/>
      <c r="K332" s="37"/>
      <c r="L332" s="38" t="str">
        <f aca="false">IF(C332="","",DATE(YEAR(C332),MONTH(C332),1))</f>
        <v/>
      </c>
      <c r="M332" s="34" t="str">
        <f aca="false">IF(F332="","",N(H332)+N(I332)-N(J332))</f>
        <v/>
      </c>
      <c r="N332" s="29"/>
    </row>
    <row r="333" customFormat="false" ht="15" hidden="false" customHeight="false" outlineLevel="0" collapsed="false">
      <c r="A333" s="29"/>
      <c r="B333" s="29"/>
      <c r="C333" s="31"/>
      <c r="D333" s="31"/>
      <c r="E333" s="35" t="str">
        <f aca="false">IF(OR(C333="",D333=""),"",MAX(1,D333-C333))</f>
        <v/>
      </c>
      <c r="F333" s="32"/>
      <c r="G333" s="36" t="str">
        <f aca="false">IF(B333="","",IFERROR(IF(N(INDEX(Fleet!$N$5:$N$79,MATCH(B333,Fleet!$A$5:$A$79,0)))&gt;0,INDEX(Fleet!$N$5:$N$79,MATCH(B333,Fleet!$A$5:$A$79,0)),Assumptions!$B$7),Assumptions!$B$7))</f>
        <v/>
      </c>
      <c r="H333" s="34" t="str">
        <f aca="false">IF(OR(F333="",G333=""),"",F333*G333)</f>
        <v/>
      </c>
      <c r="I333" s="32"/>
      <c r="J333" s="32"/>
      <c r="K333" s="37"/>
      <c r="L333" s="38" t="str">
        <f aca="false">IF(C333="","",DATE(YEAR(C333),MONTH(C333),1))</f>
        <v/>
      </c>
      <c r="M333" s="34" t="str">
        <f aca="false">IF(F333="","",N(H333)+N(I333)-N(J333))</f>
        <v/>
      </c>
      <c r="N333" s="29"/>
    </row>
    <row r="334" customFormat="false" ht="15" hidden="false" customHeight="false" outlineLevel="0" collapsed="false">
      <c r="A334" s="29"/>
      <c r="B334" s="29"/>
      <c r="C334" s="31"/>
      <c r="D334" s="31"/>
      <c r="E334" s="35" t="str">
        <f aca="false">IF(OR(C334="",D334=""),"",MAX(1,D334-C334))</f>
        <v/>
      </c>
      <c r="F334" s="32"/>
      <c r="G334" s="36" t="str">
        <f aca="false">IF(B334="","",IFERROR(IF(N(INDEX(Fleet!$N$5:$N$79,MATCH(B334,Fleet!$A$5:$A$79,0)))&gt;0,INDEX(Fleet!$N$5:$N$79,MATCH(B334,Fleet!$A$5:$A$79,0)),Assumptions!$B$7),Assumptions!$B$7))</f>
        <v/>
      </c>
      <c r="H334" s="34" t="str">
        <f aca="false">IF(OR(F334="",G334=""),"",F334*G334)</f>
        <v/>
      </c>
      <c r="I334" s="32"/>
      <c r="J334" s="32"/>
      <c r="K334" s="37"/>
      <c r="L334" s="38" t="str">
        <f aca="false">IF(C334="","",DATE(YEAR(C334),MONTH(C334),1))</f>
        <v/>
      </c>
      <c r="M334" s="34" t="str">
        <f aca="false">IF(F334="","",N(H334)+N(I334)-N(J334))</f>
        <v/>
      </c>
      <c r="N334" s="29"/>
    </row>
    <row r="335" customFormat="false" ht="15" hidden="false" customHeight="false" outlineLevel="0" collapsed="false">
      <c r="A335" s="29"/>
      <c r="B335" s="29"/>
      <c r="C335" s="31"/>
      <c r="D335" s="31"/>
      <c r="E335" s="35" t="str">
        <f aca="false">IF(OR(C335="",D335=""),"",MAX(1,D335-C335))</f>
        <v/>
      </c>
      <c r="F335" s="32"/>
      <c r="G335" s="36" t="str">
        <f aca="false">IF(B335="","",IFERROR(IF(N(INDEX(Fleet!$N$5:$N$79,MATCH(B335,Fleet!$A$5:$A$79,0)))&gt;0,INDEX(Fleet!$N$5:$N$79,MATCH(B335,Fleet!$A$5:$A$79,0)),Assumptions!$B$7),Assumptions!$B$7))</f>
        <v/>
      </c>
      <c r="H335" s="34" t="str">
        <f aca="false">IF(OR(F335="",G335=""),"",F335*G335)</f>
        <v/>
      </c>
      <c r="I335" s="32"/>
      <c r="J335" s="32"/>
      <c r="K335" s="37"/>
      <c r="L335" s="38" t="str">
        <f aca="false">IF(C335="","",DATE(YEAR(C335),MONTH(C335),1))</f>
        <v/>
      </c>
      <c r="M335" s="34" t="str">
        <f aca="false">IF(F335="","",N(H335)+N(I335)-N(J335))</f>
        <v/>
      </c>
      <c r="N335" s="29"/>
    </row>
    <row r="336" customFormat="false" ht="15" hidden="false" customHeight="false" outlineLevel="0" collapsed="false">
      <c r="A336" s="29"/>
      <c r="B336" s="29"/>
      <c r="C336" s="31"/>
      <c r="D336" s="31"/>
      <c r="E336" s="35" t="str">
        <f aca="false">IF(OR(C336="",D336=""),"",MAX(1,D336-C336))</f>
        <v/>
      </c>
      <c r="F336" s="32"/>
      <c r="G336" s="36" t="str">
        <f aca="false">IF(B336="","",IFERROR(IF(N(INDEX(Fleet!$N$5:$N$79,MATCH(B336,Fleet!$A$5:$A$79,0)))&gt;0,INDEX(Fleet!$N$5:$N$79,MATCH(B336,Fleet!$A$5:$A$79,0)),Assumptions!$B$7),Assumptions!$B$7))</f>
        <v/>
      </c>
      <c r="H336" s="34" t="str">
        <f aca="false">IF(OR(F336="",G336=""),"",F336*G336)</f>
        <v/>
      </c>
      <c r="I336" s="32"/>
      <c r="J336" s="32"/>
      <c r="K336" s="37"/>
      <c r="L336" s="38" t="str">
        <f aca="false">IF(C336="","",DATE(YEAR(C336),MONTH(C336),1))</f>
        <v/>
      </c>
      <c r="M336" s="34" t="str">
        <f aca="false">IF(F336="","",N(H336)+N(I336)-N(J336))</f>
        <v/>
      </c>
      <c r="N336" s="29"/>
    </row>
    <row r="337" customFormat="false" ht="15" hidden="false" customHeight="false" outlineLevel="0" collapsed="false">
      <c r="A337" s="29"/>
      <c r="B337" s="29"/>
      <c r="C337" s="31"/>
      <c r="D337" s="31"/>
      <c r="E337" s="35" t="str">
        <f aca="false">IF(OR(C337="",D337=""),"",MAX(1,D337-C337))</f>
        <v/>
      </c>
      <c r="F337" s="32"/>
      <c r="G337" s="36" t="str">
        <f aca="false">IF(B337="","",IFERROR(IF(N(INDEX(Fleet!$N$5:$N$79,MATCH(B337,Fleet!$A$5:$A$79,0)))&gt;0,INDEX(Fleet!$N$5:$N$79,MATCH(B337,Fleet!$A$5:$A$79,0)),Assumptions!$B$7),Assumptions!$B$7))</f>
        <v/>
      </c>
      <c r="H337" s="34" t="str">
        <f aca="false">IF(OR(F337="",G337=""),"",F337*G337)</f>
        <v/>
      </c>
      <c r="I337" s="32"/>
      <c r="J337" s="32"/>
      <c r="K337" s="37"/>
      <c r="L337" s="38" t="str">
        <f aca="false">IF(C337="","",DATE(YEAR(C337),MONTH(C337),1))</f>
        <v/>
      </c>
      <c r="M337" s="34" t="str">
        <f aca="false">IF(F337="","",N(H337)+N(I337)-N(J337))</f>
        <v/>
      </c>
      <c r="N337" s="29"/>
    </row>
    <row r="338" customFormat="false" ht="15" hidden="false" customHeight="false" outlineLevel="0" collapsed="false">
      <c r="A338" s="29"/>
      <c r="B338" s="29"/>
      <c r="C338" s="31"/>
      <c r="D338" s="31"/>
      <c r="E338" s="35" t="str">
        <f aca="false">IF(OR(C338="",D338=""),"",MAX(1,D338-C338))</f>
        <v/>
      </c>
      <c r="F338" s="32"/>
      <c r="G338" s="36" t="str">
        <f aca="false">IF(B338="","",IFERROR(IF(N(INDEX(Fleet!$N$5:$N$79,MATCH(B338,Fleet!$A$5:$A$79,0)))&gt;0,INDEX(Fleet!$N$5:$N$79,MATCH(B338,Fleet!$A$5:$A$79,0)),Assumptions!$B$7),Assumptions!$B$7))</f>
        <v/>
      </c>
      <c r="H338" s="34" t="str">
        <f aca="false">IF(OR(F338="",G338=""),"",F338*G338)</f>
        <v/>
      </c>
      <c r="I338" s="32"/>
      <c r="J338" s="32"/>
      <c r="K338" s="37"/>
      <c r="L338" s="38" t="str">
        <f aca="false">IF(C338="","",DATE(YEAR(C338),MONTH(C338),1))</f>
        <v/>
      </c>
      <c r="M338" s="34" t="str">
        <f aca="false">IF(F338="","",N(H338)+N(I338)-N(J338))</f>
        <v/>
      </c>
      <c r="N338" s="29"/>
    </row>
    <row r="339" customFormat="false" ht="15" hidden="false" customHeight="false" outlineLevel="0" collapsed="false">
      <c r="A339" s="29"/>
      <c r="B339" s="29"/>
      <c r="C339" s="31"/>
      <c r="D339" s="31"/>
      <c r="E339" s="35" t="str">
        <f aca="false">IF(OR(C339="",D339=""),"",MAX(1,D339-C339))</f>
        <v/>
      </c>
      <c r="F339" s="32"/>
      <c r="G339" s="36" t="str">
        <f aca="false">IF(B339="","",IFERROR(IF(N(INDEX(Fleet!$N$5:$N$79,MATCH(B339,Fleet!$A$5:$A$79,0)))&gt;0,INDEX(Fleet!$N$5:$N$79,MATCH(B339,Fleet!$A$5:$A$79,0)),Assumptions!$B$7),Assumptions!$B$7))</f>
        <v/>
      </c>
      <c r="H339" s="34" t="str">
        <f aca="false">IF(OR(F339="",G339=""),"",F339*G339)</f>
        <v/>
      </c>
      <c r="I339" s="32"/>
      <c r="J339" s="32"/>
      <c r="K339" s="37"/>
      <c r="L339" s="38" t="str">
        <f aca="false">IF(C339="","",DATE(YEAR(C339),MONTH(C339),1))</f>
        <v/>
      </c>
      <c r="M339" s="34" t="str">
        <f aca="false">IF(F339="","",N(H339)+N(I339)-N(J339))</f>
        <v/>
      </c>
      <c r="N339" s="29"/>
    </row>
    <row r="340" customFormat="false" ht="15" hidden="false" customHeight="false" outlineLevel="0" collapsed="false">
      <c r="A340" s="29"/>
      <c r="B340" s="29"/>
      <c r="C340" s="31"/>
      <c r="D340" s="31"/>
      <c r="E340" s="35" t="str">
        <f aca="false">IF(OR(C340="",D340=""),"",MAX(1,D340-C340))</f>
        <v/>
      </c>
      <c r="F340" s="32"/>
      <c r="G340" s="36" t="str">
        <f aca="false">IF(B340="","",IFERROR(IF(N(INDEX(Fleet!$N$5:$N$79,MATCH(B340,Fleet!$A$5:$A$79,0)))&gt;0,INDEX(Fleet!$N$5:$N$79,MATCH(B340,Fleet!$A$5:$A$79,0)),Assumptions!$B$7),Assumptions!$B$7))</f>
        <v/>
      </c>
      <c r="H340" s="34" t="str">
        <f aca="false">IF(OR(F340="",G340=""),"",F340*G340)</f>
        <v/>
      </c>
      <c r="I340" s="32"/>
      <c r="J340" s="32"/>
      <c r="K340" s="37"/>
      <c r="L340" s="38" t="str">
        <f aca="false">IF(C340="","",DATE(YEAR(C340),MONTH(C340),1))</f>
        <v/>
      </c>
      <c r="M340" s="34" t="str">
        <f aca="false">IF(F340="","",N(H340)+N(I340)-N(J340))</f>
        <v/>
      </c>
      <c r="N340" s="29"/>
    </row>
    <row r="341" customFormat="false" ht="15" hidden="false" customHeight="false" outlineLevel="0" collapsed="false">
      <c r="A341" s="29"/>
      <c r="B341" s="29"/>
      <c r="C341" s="31"/>
      <c r="D341" s="31"/>
      <c r="E341" s="35" t="str">
        <f aca="false">IF(OR(C341="",D341=""),"",MAX(1,D341-C341))</f>
        <v/>
      </c>
      <c r="F341" s="32"/>
      <c r="G341" s="36" t="str">
        <f aca="false">IF(B341="","",IFERROR(IF(N(INDEX(Fleet!$N$5:$N$79,MATCH(B341,Fleet!$A$5:$A$79,0)))&gt;0,INDEX(Fleet!$N$5:$N$79,MATCH(B341,Fleet!$A$5:$A$79,0)),Assumptions!$B$7),Assumptions!$B$7))</f>
        <v/>
      </c>
      <c r="H341" s="34" t="str">
        <f aca="false">IF(OR(F341="",G341=""),"",F341*G341)</f>
        <v/>
      </c>
      <c r="I341" s="32"/>
      <c r="J341" s="32"/>
      <c r="K341" s="37"/>
      <c r="L341" s="38" t="str">
        <f aca="false">IF(C341="","",DATE(YEAR(C341),MONTH(C341),1))</f>
        <v/>
      </c>
      <c r="M341" s="34" t="str">
        <f aca="false">IF(F341="","",N(H341)+N(I341)-N(J341))</f>
        <v/>
      </c>
      <c r="N341" s="29"/>
    </row>
    <row r="342" customFormat="false" ht="15" hidden="false" customHeight="false" outlineLevel="0" collapsed="false">
      <c r="A342" s="29"/>
      <c r="B342" s="29"/>
      <c r="C342" s="31"/>
      <c r="D342" s="31"/>
      <c r="E342" s="35" t="str">
        <f aca="false">IF(OR(C342="",D342=""),"",MAX(1,D342-C342))</f>
        <v/>
      </c>
      <c r="F342" s="32"/>
      <c r="G342" s="36" t="str">
        <f aca="false">IF(B342="","",IFERROR(IF(N(INDEX(Fleet!$N$5:$N$79,MATCH(B342,Fleet!$A$5:$A$79,0)))&gt;0,INDEX(Fleet!$N$5:$N$79,MATCH(B342,Fleet!$A$5:$A$79,0)),Assumptions!$B$7),Assumptions!$B$7))</f>
        <v/>
      </c>
      <c r="H342" s="34" t="str">
        <f aca="false">IF(OR(F342="",G342=""),"",F342*G342)</f>
        <v/>
      </c>
      <c r="I342" s="32"/>
      <c r="J342" s="32"/>
      <c r="K342" s="37"/>
      <c r="L342" s="38" t="str">
        <f aca="false">IF(C342="","",DATE(YEAR(C342),MONTH(C342),1))</f>
        <v/>
      </c>
      <c r="M342" s="34" t="str">
        <f aca="false">IF(F342="","",N(H342)+N(I342)-N(J342))</f>
        <v/>
      </c>
      <c r="N342" s="29"/>
    </row>
    <row r="343" customFormat="false" ht="15" hidden="false" customHeight="false" outlineLevel="0" collapsed="false">
      <c r="A343" s="29"/>
      <c r="B343" s="29"/>
      <c r="C343" s="31"/>
      <c r="D343" s="31"/>
      <c r="E343" s="35" t="str">
        <f aca="false">IF(OR(C343="",D343=""),"",MAX(1,D343-C343))</f>
        <v/>
      </c>
      <c r="F343" s="32"/>
      <c r="G343" s="36" t="str">
        <f aca="false">IF(B343="","",IFERROR(IF(N(INDEX(Fleet!$N$5:$N$79,MATCH(B343,Fleet!$A$5:$A$79,0)))&gt;0,INDEX(Fleet!$N$5:$N$79,MATCH(B343,Fleet!$A$5:$A$79,0)),Assumptions!$B$7),Assumptions!$B$7))</f>
        <v/>
      </c>
      <c r="H343" s="34" t="str">
        <f aca="false">IF(OR(F343="",G343=""),"",F343*G343)</f>
        <v/>
      </c>
      <c r="I343" s="32"/>
      <c r="J343" s="32"/>
      <c r="K343" s="37"/>
      <c r="L343" s="38" t="str">
        <f aca="false">IF(C343="","",DATE(YEAR(C343),MONTH(C343),1))</f>
        <v/>
      </c>
      <c r="M343" s="34" t="str">
        <f aca="false">IF(F343="","",N(H343)+N(I343)-N(J343))</f>
        <v/>
      </c>
      <c r="N343" s="29"/>
    </row>
    <row r="344" customFormat="false" ht="15" hidden="false" customHeight="false" outlineLevel="0" collapsed="false">
      <c r="A344" s="29"/>
      <c r="B344" s="29"/>
      <c r="C344" s="31"/>
      <c r="D344" s="31"/>
      <c r="E344" s="35" t="str">
        <f aca="false">IF(OR(C344="",D344=""),"",MAX(1,D344-C344))</f>
        <v/>
      </c>
      <c r="F344" s="32"/>
      <c r="G344" s="36" t="str">
        <f aca="false">IF(B344="","",IFERROR(IF(N(INDEX(Fleet!$N$5:$N$79,MATCH(B344,Fleet!$A$5:$A$79,0)))&gt;0,INDEX(Fleet!$N$5:$N$79,MATCH(B344,Fleet!$A$5:$A$79,0)),Assumptions!$B$7),Assumptions!$B$7))</f>
        <v/>
      </c>
      <c r="H344" s="34" t="str">
        <f aca="false">IF(OR(F344="",G344=""),"",F344*G344)</f>
        <v/>
      </c>
      <c r="I344" s="32"/>
      <c r="J344" s="32"/>
      <c r="K344" s="37"/>
      <c r="L344" s="38" t="str">
        <f aca="false">IF(C344="","",DATE(YEAR(C344),MONTH(C344),1))</f>
        <v/>
      </c>
      <c r="M344" s="34" t="str">
        <f aca="false">IF(F344="","",N(H344)+N(I344)-N(J344))</f>
        <v/>
      </c>
      <c r="N344" s="29"/>
    </row>
    <row r="345" customFormat="false" ht="15" hidden="false" customHeight="false" outlineLevel="0" collapsed="false">
      <c r="A345" s="29"/>
      <c r="B345" s="29"/>
      <c r="C345" s="31"/>
      <c r="D345" s="31"/>
      <c r="E345" s="35" t="str">
        <f aca="false">IF(OR(C345="",D345=""),"",MAX(1,D345-C345))</f>
        <v/>
      </c>
      <c r="F345" s="32"/>
      <c r="G345" s="36" t="str">
        <f aca="false">IF(B345="","",IFERROR(IF(N(INDEX(Fleet!$N$5:$N$79,MATCH(B345,Fleet!$A$5:$A$79,0)))&gt;0,INDEX(Fleet!$N$5:$N$79,MATCH(B345,Fleet!$A$5:$A$79,0)),Assumptions!$B$7),Assumptions!$B$7))</f>
        <v/>
      </c>
      <c r="H345" s="34" t="str">
        <f aca="false">IF(OR(F345="",G345=""),"",F345*G345)</f>
        <v/>
      </c>
      <c r="I345" s="32"/>
      <c r="J345" s="32"/>
      <c r="K345" s="37"/>
      <c r="L345" s="38" t="str">
        <f aca="false">IF(C345="","",DATE(YEAR(C345),MONTH(C345),1))</f>
        <v/>
      </c>
      <c r="M345" s="34" t="str">
        <f aca="false">IF(F345="","",N(H345)+N(I345)-N(J345))</f>
        <v/>
      </c>
      <c r="N345" s="29"/>
    </row>
    <row r="346" customFormat="false" ht="15" hidden="false" customHeight="false" outlineLevel="0" collapsed="false">
      <c r="A346" s="29"/>
      <c r="B346" s="29"/>
      <c r="C346" s="31"/>
      <c r="D346" s="31"/>
      <c r="E346" s="35" t="str">
        <f aca="false">IF(OR(C346="",D346=""),"",MAX(1,D346-C346))</f>
        <v/>
      </c>
      <c r="F346" s="32"/>
      <c r="G346" s="36" t="str">
        <f aca="false">IF(B346="","",IFERROR(IF(N(INDEX(Fleet!$N$5:$N$79,MATCH(B346,Fleet!$A$5:$A$79,0)))&gt;0,INDEX(Fleet!$N$5:$N$79,MATCH(B346,Fleet!$A$5:$A$79,0)),Assumptions!$B$7),Assumptions!$B$7))</f>
        <v/>
      </c>
      <c r="H346" s="34" t="str">
        <f aca="false">IF(OR(F346="",G346=""),"",F346*G346)</f>
        <v/>
      </c>
      <c r="I346" s="32"/>
      <c r="J346" s="32"/>
      <c r="K346" s="37"/>
      <c r="L346" s="38" t="str">
        <f aca="false">IF(C346="","",DATE(YEAR(C346),MONTH(C346),1))</f>
        <v/>
      </c>
      <c r="M346" s="34" t="str">
        <f aca="false">IF(F346="","",N(H346)+N(I346)-N(J346))</f>
        <v/>
      </c>
      <c r="N346" s="29"/>
    </row>
    <row r="347" customFormat="false" ht="15" hidden="false" customHeight="false" outlineLevel="0" collapsed="false">
      <c r="A347" s="29"/>
      <c r="B347" s="29"/>
      <c r="C347" s="31"/>
      <c r="D347" s="31"/>
      <c r="E347" s="35" t="str">
        <f aca="false">IF(OR(C347="",D347=""),"",MAX(1,D347-C347))</f>
        <v/>
      </c>
      <c r="F347" s="32"/>
      <c r="G347" s="36" t="str">
        <f aca="false">IF(B347="","",IFERROR(IF(N(INDEX(Fleet!$N$5:$N$79,MATCH(B347,Fleet!$A$5:$A$79,0)))&gt;0,INDEX(Fleet!$N$5:$N$79,MATCH(B347,Fleet!$A$5:$A$79,0)),Assumptions!$B$7),Assumptions!$B$7))</f>
        <v/>
      </c>
      <c r="H347" s="34" t="str">
        <f aca="false">IF(OR(F347="",G347=""),"",F347*G347)</f>
        <v/>
      </c>
      <c r="I347" s="32"/>
      <c r="J347" s="32"/>
      <c r="K347" s="37"/>
      <c r="L347" s="38" t="str">
        <f aca="false">IF(C347="","",DATE(YEAR(C347),MONTH(C347),1))</f>
        <v/>
      </c>
      <c r="M347" s="34" t="str">
        <f aca="false">IF(F347="","",N(H347)+N(I347)-N(J347))</f>
        <v/>
      </c>
      <c r="N347" s="29"/>
    </row>
    <row r="348" customFormat="false" ht="15" hidden="false" customHeight="false" outlineLevel="0" collapsed="false">
      <c r="A348" s="29"/>
      <c r="B348" s="29"/>
      <c r="C348" s="31"/>
      <c r="D348" s="31"/>
      <c r="E348" s="35" t="str">
        <f aca="false">IF(OR(C348="",D348=""),"",MAX(1,D348-C348))</f>
        <v/>
      </c>
      <c r="F348" s="32"/>
      <c r="G348" s="36" t="str">
        <f aca="false">IF(B348="","",IFERROR(IF(N(INDEX(Fleet!$N$5:$N$79,MATCH(B348,Fleet!$A$5:$A$79,0)))&gt;0,INDEX(Fleet!$N$5:$N$79,MATCH(B348,Fleet!$A$5:$A$79,0)),Assumptions!$B$7),Assumptions!$B$7))</f>
        <v/>
      </c>
      <c r="H348" s="34" t="str">
        <f aca="false">IF(OR(F348="",G348=""),"",F348*G348)</f>
        <v/>
      </c>
      <c r="I348" s="32"/>
      <c r="J348" s="32"/>
      <c r="K348" s="37"/>
      <c r="L348" s="38" t="str">
        <f aca="false">IF(C348="","",DATE(YEAR(C348),MONTH(C348),1))</f>
        <v/>
      </c>
      <c r="M348" s="34" t="str">
        <f aca="false">IF(F348="","",N(H348)+N(I348)-N(J348))</f>
        <v/>
      </c>
      <c r="N348" s="29"/>
    </row>
    <row r="349" customFormat="false" ht="15" hidden="false" customHeight="false" outlineLevel="0" collapsed="false">
      <c r="A349" s="29"/>
      <c r="B349" s="29"/>
      <c r="C349" s="31"/>
      <c r="D349" s="31"/>
      <c r="E349" s="35" t="str">
        <f aca="false">IF(OR(C349="",D349=""),"",MAX(1,D349-C349))</f>
        <v/>
      </c>
      <c r="F349" s="32"/>
      <c r="G349" s="36" t="str">
        <f aca="false">IF(B349="","",IFERROR(IF(N(INDEX(Fleet!$N$5:$N$79,MATCH(B349,Fleet!$A$5:$A$79,0)))&gt;0,INDEX(Fleet!$N$5:$N$79,MATCH(B349,Fleet!$A$5:$A$79,0)),Assumptions!$B$7),Assumptions!$B$7))</f>
        <v/>
      </c>
      <c r="H349" s="34" t="str">
        <f aca="false">IF(OR(F349="",G349=""),"",F349*G349)</f>
        <v/>
      </c>
      <c r="I349" s="32"/>
      <c r="J349" s="32"/>
      <c r="K349" s="37"/>
      <c r="L349" s="38" t="str">
        <f aca="false">IF(C349="","",DATE(YEAR(C349),MONTH(C349),1))</f>
        <v/>
      </c>
      <c r="M349" s="34" t="str">
        <f aca="false">IF(F349="","",N(H349)+N(I349)-N(J349))</f>
        <v/>
      </c>
      <c r="N349" s="29"/>
    </row>
    <row r="350" customFormat="false" ht="15" hidden="false" customHeight="false" outlineLevel="0" collapsed="false">
      <c r="A350" s="29"/>
      <c r="B350" s="29"/>
      <c r="C350" s="31"/>
      <c r="D350" s="31"/>
      <c r="E350" s="35" t="str">
        <f aca="false">IF(OR(C350="",D350=""),"",MAX(1,D350-C350))</f>
        <v/>
      </c>
      <c r="F350" s="32"/>
      <c r="G350" s="36" t="str">
        <f aca="false">IF(B350="","",IFERROR(IF(N(INDEX(Fleet!$N$5:$N$79,MATCH(B350,Fleet!$A$5:$A$79,0)))&gt;0,INDEX(Fleet!$N$5:$N$79,MATCH(B350,Fleet!$A$5:$A$79,0)),Assumptions!$B$7),Assumptions!$B$7))</f>
        <v/>
      </c>
      <c r="H350" s="34" t="str">
        <f aca="false">IF(OR(F350="",G350=""),"",F350*G350)</f>
        <v/>
      </c>
      <c r="I350" s="32"/>
      <c r="J350" s="32"/>
      <c r="K350" s="37"/>
      <c r="L350" s="38" t="str">
        <f aca="false">IF(C350="","",DATE(YEAR(C350),MONTH(C350),1))</f>
        <v/>
      </c>
      <c r="M350" s="34" t="str">
        <f aca="false">IF(F350="","",N(H350)+N(I350)-N(J350))</f>
        <v/>
      </c>
      <c r="N350" s="29"/>
    </row>
    <row r="351" customFormat="false" ht="15" hidden="false" customHeight="false" outlineLevel="0" collapsed="false">
      <c r="A351" s="29"/>
      <c r="B351" s="29"/>
      <c r="C351" s="31"/>
      <c r="D351" s="31"/>
      <c r="E351" s="35" t="str">
        <f aca="false">IF(OR(C351="",D351=""),"",MAX(1,D351-C351))</f>
        <v/>
      </c>
      <c r="F351" s="32"/>
      <c r="G351" s="36" t="str">
        <f aca="false">IF(B351="","",IFERROR(IF(N(INDEX(Fleet!$N$5:$N$79,MATCH(B351,Fleet!$A$5:$A$79,0)))&gt;0,INDEX(Fleet!$N$5:$N$79,MATCH(B351,Fleet!$A$5:$A$79,0)),Assumptions!$B$7),Assumptions!$B$7))</f>
        <v/>
      </c>
      <c r="H351" s="34" t="str">
        <f aca="false">IF(OR(F351="",G351=""),"",F351*G351)</f>
        <v/>
      </c>
      <c r="I351" s="32"/>
      <c r="J351" s="32"/>
      <c r="K351" s="37"/>
      <c r="L351" s="38" t="str">
        <f aca="false">IF(C351="","",DATE(YEAR(C351),MONTH(C351),1))</f>
        <v/>
      </c>
      <c r="M351" s="34" t="str">
        <f aca="false">IF(F351="","",N(H351)+N(I351)-N(J351))</f>
        <v/>
      </c>
      <c r="N351" s="29"/>
    </row>
    <row r="352" customFormat="false" ht="15" hidden="false" customHeight="false" outlineLevel="0" collapsed="false">
      <c r="A352" s="29"/>
      <c r="B352" s="29"/>
      <c r="C352" s="31"/>
      <c r="D352" s="31"/>
      <c r="E352" s="35" t="str">
        <f aca="false">IF(OR(C352="",D352=""),"",MAX(1,D352-C352))</f>
        <v/>
      </c>
      <c r="F352" s="32"/>
      <c r="G352" s="36" t="str">
        <f aca="false">IF(B352="","",IFERROR(IF(N(INDEX(Fleet!$N$5:$N$79,MATCH(B352,Fleet!$A$5:$A$79,0)))&gt;0,INDEX(Fleet!$N$5:$N$79,MATCH(B352,Fleet!$A$5:$A$79,0)),Assumptions!$B$7),Assumptions!$B$7))</f>
        <v/>
      </c>
      <c r="H352" s="34" t="str">
        <f aca="false">IF(OR(F352="",G352=""),"",F352*G352)</f>
        <v/>
      </c>
      <c r="I352" s="32"/>
      <c r="J352" s="32"/>
      <c r="K352" s="37"/>
      <c r="L352" s="38" t="str">
        <f aca="false">IF(C352="","",DATE(YEAR(C352),MONTH(C352),1))</f>
        <v/>
      </c>
      <c r="M352" s="34" t="str">
        <f aca="false">IF(F352="","",N(H352)+N(I352)-N(J352))</f>
        <v/>
      </c>
      <c r="N352" s="29"/>
    </row>
    <row r="353" customFormat="false" ht="15" hidden="false" customHeight="false" outlineLevel="0" collapsed="false">
      <c r="A353" s="29"/>
      <c r="B353" s="29"/>
      <c r="C353" s="31"/>
      <c r="D353" s="31"/>
      <c r="E353" s="35" t="str">
        <f aca="false">IF(OR(C353="",D353=""),"",MAX(1,D353-C353))</f>
        <v/>
      </c>
      <c r="F353" s="32"/>
      <c r="G353" s="36" t="str">
        <f aca="false">IF(B353="","",IFERROR(IF(N(INDEX(Fleet!$N$5:$N$79,MATCH(B353,Fleet!$A$5:$A$79,0)))&gt;0,INDEX(Fleet!$N$5:$N$79,MATCH(B353,Fleet!$A$5:$A$79,0)),Assumptions!$B$7),Assumptions!$B$7))</f>
        <v/>
      </c>
      <c r="H353" s="34" t="str">
        <f aca="false">IF(OR(F353="",G353=""),"",F353*G353)</f>
        <v/>
      </c>
      <c r="I353" s="32"/>
      <c r="J353" s="32"/>
      <c r="K353" s="37"/>
      <c r="L353" s="38" t="str">
        <f aca="false">IF(C353="","",DATE(YEAR(C353),MONTH(C353),1))</f>
        <v/>
      </c>
      <c r="M353" s="34" t="str">
        <f aca="false">IF(F353="","",N(H353)+N(I353)-N(J353))</f>
        <v/>
      </c>
      <c r="N353" s="29"/>
    </row>
    <row r="354" customFormat="false" ht="15" hidden="false" customHeight="false" outlineLevel="0" collapsed="false">
      <c r="A354" s="29"/>
      <c r="B354" s="29"/>
      <c r="C354" s="31"/>
      <c r="D354" s="31"/>
      <c r="E354" s="35" t="str">
        <f aca="false">IF(OR(C354="",D354=""),"",MAX(1,D354-C354))</f>
        <v/>
      </c>
      <c r="F354" s="32"/>
      <c r="G354" s="36" t="str">
        <f aca="false">IF(B354="","",IFERROR(IF(N(INDEX(Fleet!$N$5:$N$79,MATCH(B354,Fleet!$A$5:$A$79,0)))&gt;0,INDEX(Fleet!$N$5:$N$79,MATCH(B354,Fleet!$A$5:$A$79,0)),Assumptions!$B$7),Assumptions!$B$7))</f>
        <v/>
      </c>
      <c r="H354" s="34" t="str">
        <f aca="false">IF(OR(F354="",G354=""),"",F354*G354)</f>
        <v/>
      </c>
      <c r="I354" s="32"/>
      <c r="J354" s="32"/>
      <c r="K354" s="37"/>
      <c r="L354" s="38" t="str">
        <f aca="false">IF(C354="","",DATE(YEAR(C354),MONTH(C354),1))</f>
        <v/>
      </c>
      <c r="M354" s="34" t="str">
        <f aca="false">IF(F354="","",N(H354)+N(I354)-N(J354))</f>
        <v/>
      </c>
      <c r="N354" s="29"/>
    </row>
    <row r="355" customFormat="false" ht="15" hidden="false" customHeight="false" outlineLevel="0" collapsed="false">
      <c r="A355" s="29"/>
      <c r="B355" s="29"/>
      <c r="C355" s="31"/>
      <c r="D355" s="31"/>
      <c r="E355" s="35" t="str">
        <f aca="false">IF(OR(C355="",D355=""),"",MAX(1,D355-C355))</f>
        <v/>
      </c>
      <c r="F355" s="32"/>
      <c r="G355" s="36" t="str">
        <f aca="false">IF(B355="","",IFERROR(IF(N(INDEX(Fleet!$N$5:$N$79,MATCH(B355,Fleet!$A$5:$A$79,0)))&gt;0,INDEX(Fleet!$N$5:$N$79,MATCH(B355,Fleet!$A$5:$A$79,0)),Assumptions!$B$7),Assumptions!$B$7))</f>
        <v/>
      </c>
      <c r="H355" s="34" t="str">
        <f aca="false">IF(OR(F355="",G355=""),"",F355*G355)</f>
        <v/>
      </c>
      <c r="I355" s="32"/>
      <c r="J355" s="32"/>
      <c r="K355" s="37"/>
      <c r="L355" s="38" t="str">
        <f aca="false">IF(C355="","",DATE(YEAR(C355),MONTH(C355),1))</f>
        <v/>
      </c>
      <c r="M355" s="34" t="str">
        <f aca="false">IF(F355="","",N(H355)+N(I355)-N(J355))</f>
        <v/>
      </c>
      <c r="N355" s="29"/>
    </row>
    <row r="356" customFormat="false" ht="15" hidden="false" customHeight="false" outlineLevel="0" collapsed="false">
      <c r="A356" s="29"/>
      <c r="B356" s="29"/>
      <c r="C356" s="31"/>
      <c r="D356" s="31"/>
      <c r="E356" s="35" t="str">
        <f aca="false">IF(OR(C356="",D356=""),"",MAX(1,D356-C356))</f>
        <v/>
      </c>
      <c r="F356" s="32"/>
      <c r="G356" s="36" t="str">
        <f aca="false">IF(B356="","",IFERROR(IF(N(INDEX(Fleet!$N$5:$N$79,MATCH(B356,Fleet!$A$5:$A$79,0)))&gt;0,INDEX(Fleet!$N$5:$N$79,MATCH(B356,Fleet!$A$5:$A$79,0)),Assumptions!$B$7),Assumptions!$B$7))</f>
        <v/>
      </c>
      <c r="H356" s="34" t="str">
        <f aca="false">IF(OR(F356="",G356=""),"",F356*G356)</f>
        <v/>
      </c>
      <c r="I356" s="32"/>
      <c r="J356" s="32"/>
      <c r="K356" s="37"/>
      <c r="L356" s="38" t="str">
        <f aca="false">IF(C356="","",DATE(YEAR(C356),MONTH(C356),1))</f>
        <v/>
      </c>
      <c r="M356" s="34" t="str">
        <f aca="false">IF(F356="","",N(H356)+N(I356)-N(J356))</f>
        <v/>
      </c>
      <c r="N356" s="29"/>
    </row>
    <row r="357" customFormat="false" ht="15" hidden="false" customHeight="false" outlineLevel="0" collapsed="false">
      <c r="A357" s="29"/>
      <c r="B357" s="29"/>
      <c r="C357" s="31"/>
      <c r="D357" s="31"/>
      <c r="E357" s="35" t="str">
        <f aca="false">IF(OR(C357="",D357=""),"",MAX(1,D357-C357))</f>
        <v/>
      </c>
      <c r="F357" s="32"/>
      <c r="G357" s="36" t="str">
        <f aca="false">IF(B357="","",IFERROR(IF(N(INDEX(Fleet!$N$5:$N$79,MATCH(B357,Fleet!$A$5:$A$79,0)))&gt;0,INDEX(Fleet!$N$5:$N$79,MATCH(B357,Fleet!$A$5:$A$79,0)),Assumptions!$B$7),Assumptions!$B$7))</f>
        <v/>
      </c>
      <c r="H357" s="34" t="str">
        <f aca="false">IF(OR(F357="",G357=""),"",F357*G357)</f>
        <v/>
      </c>
      <c r="I357" s="32"/>
      <c r="J357" s="32"/>
      <c r="K357" s="37"/>
      <c r="L357" s="38" t="str">
        <f aca="false">IF(C357="","",DATE(YEAR(C357),MONTH(C357),1))</f>
        <v/>
      </c>
      <c r="M357" s="34" t="str">
        <f aca="false">IF(F357="","",N(H357)+N(I357)-N(J357))</f>
        <v/>
      </c>
      <c r="N357" s="29"/>
    </row>
    <row r="358" customFormat="false" ht="15" hidden="false" customHeight="false" outlineLevel="0" collapsed="false">
      <c r="A358" s="29"/>
      <c r="B358" s="29"/>
      <c r="C358" s="31"/>
      <c r="D358" s="31"/>
      <c r="E358" s="35" t="str">
        <f aca="false">IF(OR(C358="",D358=""),"",MAX(1,D358-C358))</f>
        <v/>
      </c>
      <c r="F358" s="32"/>
      <c r="G358" s="36" t="str">
        <f aca="false">IF(B358="","",IFERROR(IF(N(INDEX(Fleet!$N$5:$N$79,MATCH(B358,Fleet!$A$5:$A$79,0)))&gt;0,INDEX(Fleet!$N$5:$N$79,MATCH(B358,Fleet!$A$5:$A$79,0)),Assumptions!$B$7),Assumptions!$B$7))</f>
        <v/>
      </c>
      <c r="H358" s="34" t="str">
        <f aca="false">IF(OR(F358="",G358=""),"",F358*G358)</f>
        <v/>
      </c>
      <c r="I358" s="32"/>
      <c r="J358" s="32"/>
      <c r="K358" s="37"/>
      <c r="L358" s="38" t="str">
        <f aca="false">IF(C358="","",DATE(YEAR(C358),MONTH(C358),1))</f>
        <v/>
      </c>
      <c r="M358" s="34" t="str">
        <f aca="false">IF(F358="","",N(H358)+N(I358)-N(J358))</f>
        <v/>
      </c>
      <c r="N358" s="29"/>
    </row>
    <row r="359" customFormat="false" ht="15" hidden="false" customHeight="false" outlineLevel="0" collapsed="false">
      <c r="A359" s="29"/>
      <c r="B359" s="29"/>
      <c r="C359" s="31"/>
      <c r="D359" s="31"/>
      <c r="E359" s="35" t="str">
        <f aca="false">IF(OR(C359="",D359=""),"",MAX(1,D359-C359))</f>
        <v/>
      </c>
      <c r="F359" s="32"/>
      <c r="G359" s="36" t="str">
        <f aca="false">IF(B359="","",IFERROR(IF(N(INDEX(Fleet!$N$5:$N$79,MATCH(B359,Fleet!$A$5:$A$79,0)))&gt;0,INDEX(Fleet!$N$5:$N$79,MATCH(B359,Fleet!$A$5:$A$79,0)),Assumptions!$B$7),Assumptions!$B$7))</f>
        <v/>
      </c>
      <c r="H359" s="34" t="str">
        <f aca="false">IF(OR(F359="",G359=""),"",F359*G359)</f>
        <v/>
      </c>
      <c r="I359" s="32"/>
      <c r="J359" s="32"/>
      <c r="K359" s="37"/>
      <c r="L359" s="38" t="str">
        <f aca="false">IF(C359="","",DATE(YEAR(C359),MONTH(C359),1))</f>
        <v/>
      </c>
      <c r="M359" s="34" t="str">
        <f aca="false">IF(F359="","",N(H359)+N(I359)-N(J359))</f>
        <v/>
      </c>
      <c r="N359" s="29"/>
    </row>
    <row r="360" customFormat="false" ht="15" hidden="false" customHeight="false" outlineLevel="0" collapsed="false">
      <c r="A360" s="29"/>
      <c r="B360" s="29"/>
      <c r="C360" s="31"/>
      <c r="D360" s="31"/>
      <c r="E360" s="35" t="str">
        <f aca="false">IF(OR(C360="",D360=""),"",MAX(1,D360-C360))</f>
        <v/>
      </c>
      <c r="F360" s="32"/>
      <c r="G360" s="36" t="str">
        <f aca="false">IF(B360="","",IFERROR(IF(N(INDEX(Fleet!$N$5:$N$79,MATCH(B360,Fleet!$A$5:$A$79,0)))&gt;0,INDEX(Fleet!$N$5:$N$79,MATCH(B360,Fleet!$A$5:$A$79,0)),Assumptions!$B$7),Assumptions!$B$7))</f>
        <v/>
      </c>
      <c r="H360" s="34" t="str">
        <f aca="false">IF(OR(F360="",G360=""),"",F360*G360)</f>
        <v/>
      </c>
      <c r="I360" s="32"/>
      <c r="J360" s="32"/>
      <c r="K360" s="37"/>
      <c r="L360" s="38" t="str">
        <f aca="false">IF(C360="","",DATE(YEAR(C360),MONTH(C360),1))</f>
        <v/>
      </c>
      <c r="M360" s="34" t="str">
        <f aca="false">IF(F360="","",N(H360)+N(I360)-N(J360))</f>
        <v/>
      </c>
      <c r="N360" s="29"/>
    </row>
    <row r="361" customFormat="false" ht="15" hidden="false" customHeight="false" outlineLevel="0" collapsed="false">
      <c r="A361" s="29"/>
      <c r="B361" s="29"/>
      <c r="C361" s="31"/>
      <c r="D361" s="31"/>
      <c r="E361" s="35" t="str">
        <f aca="false">IF(OR(C361="",D361=""),"",MAX(1,D361-C361))</f>
        <v/>
      </c>
      <c r="F361" s="32"/>
      <c r="G361" s="36" t="str">
        <f aca="false">IF(B361="","",IFERROR(IF(N(INDEX(Fleet!$N$5:$N$79,MATCH(B361,Fleet!$A$5:$A$79,0)))&gt;0,INDEX(Fleet!$N$5:$N$79,MATCH(B361,Fleet!$A$5:$A$79,0)),Assumptions!$B$7),Assumptions!$B$7))</f>
        <v/>
      </c>
      <c r="H361" s="34" t="str">
        <f aca="false">IF(OR(F361="",G361=""),"",F361*G361)</f>
        <v/>
      </c>
      <c r="I361" s="32"/>
      <c r="J361" s="32"/>
      <c r="K361" s="37"/>
      <c r="L361" s="38" t="str">
        <f aca="false">IF(C361="","",DATE(YEAR(C361),MONTH(C361),1))</f>
        <v/>
      </c>
      <c r="M361" s="34" t="str">
        <f aca="false">IF(F361="","",N(H361)+N(I361)-N(J361))</f>
        <v/>
      </c>
      <c r="N361" s="29"/>
    </row>
    <row r="362" customFormat="false" ht="15" hidden="false" customHeight="false" outlineLevel="0" collapsed="false">
      <c r="A362" s="29"/>
      <c r="B362" s="29"/>
      <c r="C362" s="31"/>
      <c r="D362" s="31"/>
      <c r="E362" s="35" t="str">
        <f aca="false">IF(OR(C362="",D362=""),"",MAX(1,D362-C362))</f>
        <v/>
      </c>
      <c r="F362" s="32"/>
      <c r="G362" s="36" t="str">
        <f aca="false">IF(B362="","",IFERROR(IF(N(INDEX(Fleet!$N$5:$N$79,MATCH(B362,Fleet!$A$5:$A$79,0)))&gt;0,INDEX(Fleet!$N$5:$N$79,MATCH(B362,Fleet!$A$5:$A$79,0)),Assumptions!$B$7),Assumptions!$B$7))</f>
        <v/>
      </c>
      <c r="H362" s="34" t="str">
        <f aca="false">IF(OR(F362="",G362=""),"",F362*G362)</f>
        <v/>
      </c>
      <c r="I362" s="32"/>
      <c r="J362" s="32"/>
      <c r="K362" s="37"/>
      <c r="L362" s="38" t="str">
        <f aca="false">IF(C362="","",DATE(YEAR(C362),MONTH(C362),1))</f>
        <v/>
      </c>
      <c r="M362" s="34" t="str">
        <f aca="false">IF(F362="","",N(H362)+N(I362)-N(J362))</f>
        <v/>
      </c>
      <c r="N362" s="29"/>
    </row>
    <row r="363" customFormat="false" ht="15" hidden="false" customHeight="false" outlineLevel="0" collapsed="false">
      <c r="A363" s="29"/>
      <c r="B363" s="29"/>
      <c r="C363" s="31"/>
      <c r="D363" s="31"/>
      <c r="E363" s="35" t="str">
        <f aca="false">IF(OR(C363="",D363=""),"",MAX(1,D363-C363))</f>
        <v/>
      </c>
      <c r="F363" s="32"/>
      <c r="G363" s="36" t="str">
        <f aca="false">IF(B363="","",IFERROR(IF(N(INDEX(Fleet!$N$5:$N$79,MATCH(B363,Fleet!$A$5:$A$79,0)))&gt;0,INDEX(Fleet!$N$5:$N$79,MATCH(B363,Fleet!$A$5:$A$79,0)),Assumptions!$B$7),Assumptions!$B$7))</f>
        <v/>
      </c>
      <c r="H363" s="34" t="str">
        <f aca="false">IF(OR(F363="",G363=""),"",F363*G363)</f>
        <v/>
      </c>
      <c r="I363" s="32"/>
      <c r="J363" s="32"/>
      <c r="K363" s="37"/>
      <c r="L363" s="38" t="str">
        <f aca="false">IF(C363="","",DATE(YEAR(C363),MONTH(C363),1))</f>
        <v/>
      </c>
      <c r="M363" s="34" t="str">
        <f aca="false">IF(F363="","",N(H363)+N(I363)-N(J363))</f>
        <v/>
      </c>
      <c r="N363" s="29"/>
    </row>
    <row r="364" customFormat="false" ht="15" hidden="false" customHeight="false" outlineLevel="0" collapsed="false">
      <c r="A364" s="29"/>
      <c r="B364" s="29"/>
      <c r="C364" s="31"/>
      <c r="D364" s="31"/>
      <c r="E364" s="35" t="str">
        <f aca="false">IF(OR(C364="",D364=""),"",MAX(1,D364-C364))</f>
        <v/>
      </c>
      <c r="F364" s="32"/>
      <c r="G364" s="36" t="str">
        <f aca="false">IF(B364="","",IFERROR(IF(N(INDEX(Fleet!$N$5:$N$79,MATCH(B364,Fleet!$A$5:$A$79,0)))&gt;0,INDEX(Fleet!$N$5:$N$79,MATCH(B364,Fleet!$A$5:$A$79,0)),Assumptions!$B$7),Assumptions!$B$7))</f>
        <v/>
      </c>
      <c r="H364" s="34" t="str">
        <f aca="false">IF(OR(F364="",G364=""),"",F364*G364)</f>
        <v/>
      </c>
      <c r="I364" s="32"/>
      <c r="J364" s="32"/>
      <c r="K364" s="37"/>
      <c r="L364" s="38" t="str">
        <f aca="false">IF(C364="","",DATE(YEAR(C364),MONTH(C364),1))</f>
        <v/>
      </c>
      <c r="M364" s="34" t="str">
        <f aca="false">IF(F364="","",N(H364)+N(I364)-N(J364))</f>
        <v/>
      </c>
      <c r="N364" s="29"/>
    </row>
    <row r="365" customFormat="false" ht="15" hidden="false" customHeight="false" outlineLevel="0" collapsed="false">
      <c r="A365" s="29"/>
      <c r="B365" s="29"/>
      <c r="C365" s="31"/>
      <c r="D365" s="31"/>
      <c r="E365" s="35" t="str">
        <f aca="false">IF(OR(C365="",D365=""),"",MAX(1,D365-C365))</f>
        <v/>
      </c>
      <c r="F365" s="32"/>
      <c r="G365" s="36" t="str">
        <f aca="false">IF(B365="","",IFERROR(IF(N(INDEX(Fleet!$N$5:$N$79,MATCH(B365,Fleet!$A$5:$A$79,0)))&gt;0,INDEX(Fleet!$N$5:$N$79,MATCH(B365,Fleet!$A$5:$A$79,0)),Assumptions!$B$7),Assumptions!$B$7))</f>
        <v/>
      </c>
      <c r="H365" s="34" t="str">
        <f aca="false">IF(OR(F365="",G365=""),"",F365*G365)</f>
        <v/>
      </c>
      <c r="I365" s="32"/>
      <c r="J365" s="32"/>
      <c r="K365" s="37"/>
      <c r="L365" s="38" t="str">
        <f aca="false">IF(C365="","",DATE(YEAR(C365),MONTH(C365),1))</f>
        <v/>
      </c>
      <c r="M365" s="34" t="str">
        <f aca="false">IF(F365="","",N(H365)+N(I365)-N(J365))</f>
        <v/>
      </c>
      <c r="N365" s="29"/>
    </row>
    <row r="366" customFormat="false" ht="15" hidden="false" customHeight="false" outlineLevel="0" collapsed="false">
      <c r="A366" s="29"/>
      <c r="B366" s="29"/>
      <c r="C366" s="31"/>
      <c r="D366" s="31"/>
      <c r="E366" s="35" t="str">
        <f aca="false">IF(OR(C366="",D366=""),"",MAX(1,D366-C366))</f>
        <v/>
      </c>
      <c r="F366" s="32"/>
      <c r="G366" s="36" t="str">
        <f aca="false">IF(B366="","",IFERROR(IF(N(INDEX(Fleet!$N$5:$N$79,MATCH(B366,Fleet!$A$5:$A$79,0)))&gt;0,INDEX(Fleet!$N$5:$N$79,MATCH(B366,Fleet!$A$5:$A$79,0)),Assumptions!$B$7),Assumptions!$B$7))</f>
        <v/>
      </c>
      <c r="H366" s="34" t="str">
        <f aca="false">IF(OR(F366="",G366=""),"",F366*G366)</f>
        <v/>
      </c>
      <c r="I366" s="32"/>
      <c r="J366" s="32"/>
      <c r="K366" s="37"/>
      <c r="L366" s="38" t="str">
        <f aca="false">IF(C366="","",DATE(YEAR(C366),MONTH(C366),1))</f>
        <v/>
      </c>
      <c r="M366" s="34" t="str">
        <f aca="false">IF(F366="","",N(H366)+N(I366)-N(J366))</f>
        <v/>
      </c>
      <c r="N366" s="29"/>
    </row>
    <row r="367" customFormat="false" ht="15" hidden="false" customHeight="false" outlineLevel="0" collapsed="false">
      <c r="A367" s="29"/>
      <c r="B367" s="29"/>
      <c r="C367" s="31"/>
      <c r="D367" s="31"/>
      <c r="E367" s="35" t="str">
        <f aca="false">IF(OR(C367="",D367=""),"",MAX(1,D367-C367))</f>
        <v/>
      </c>
      <c r="F367" s="32"/>
      <c r="G367" s="36" t="str">
        <f aca="false">IF(B367="","",IFERROR(IF(N(INDEX(Fleet!$N$5:$N$79,MATCH(B367,Fleet!$A$5:$A$79,0)))&gt;0,INDEX(Fleet!$N$5:$N$79,MATCH(B367,Fleet!$A$5:$A$79,0)),Assumptions!$B$7),Assumptions!$B$7))</f>
        <v/>
      </c>
      <c r="H367" s="34" t="str">
        <f aca="false">IF(OR(F367="",G367=""),"",F367*G367)</f>
        <v/>
      </c>
      <c r="I367" s="32"/>
      <c r="J367" s="32"/>
      <c r="K367" s="37"/>
      <c r="L367" s="38" t="str">
        <f aca="false">IF(C367="","",DATE(YEAR(C367),MONTH(C367),1))</f>
        <v/>
      </c>
      <c r="M367" s="34" t="str">
        <f aca="false">IF(F367="","",N(H367)+N(I367)-N(J367))</f>
        <v/>
      </c>
      <c r="N367" s="29"/>
    </row>
    <row r="368" customFormat="false" ht="15" hidden="false" customHeight="false" outlineLevel="0" collapsed="false">
      <c r="A368" s="29"/>
      <c r="B368" s="29"/>
      <c r="C368" s="31"/>
      <c r="D368" s="31"/>
      <c r="E368" s="35" t="str">
        <f aca="false">IF(OR(C368="",D368=""),"",MAX(1,D368-C368))</f>
        <v/>
      </c>
      <c r="F368" s="32"/>
      <c r="G368" s="36" t="str">
        <f aca="false">IF(B368="","",IFERROR(IF(N(INDEX(Fleet!$N$5:$N$79,MATCH(B368,Fleet!$A$5:$A$79,0)))&gt;0,INDEX(Fleet!$N$5:$N$79,MATCH(B368,Fleet!$A$5:$A$79,0)),Assumptions!$B$7),Assumptions!$B$7))</f>
        <v/>
      </c>
      <c r="H368" s="34" t="str">
        <f aca="false">IF(OR(F368="",G368=""),"",F368*G368)</f>
        <v/>
      </c>
      <c r="I368" s="32"/>
      <c r="J368" s="32"/>
      <c r="K368" s="37"/>
      <c r="L368" s="38" t="str">
        <f aca="false">IF(C368="","",DATE(YEAR(C368),MONTH(C368),1))</f>
        <v/>
      </c>
      <c r="M368" s="34" t="str">
        <f aca="false">IF(F368="","",N(H368)+N(I368)-N(J368))</f>
        <v/>
      </c>
      <c r="N368" s="29"/>
    </row>
    <row r="369" customFormat="false" ht="15" hidden="false" customHeight="false" outlineLevel="0" collapsed="false">
      <c r="A369" s="29"/>
      <c r="B369" s="29"/>
      <c r="C369" s="31"/>
      <c r="D369" s="31"/>
      <c r="E369" s="35" t="str">
        <f aca="false">IF(OR(C369="",D369=""),"",MAX(1,D369-C369))</f>
        <v/>
      </c>
      <c r="F369" s="32"/>
      <c r="G369" s="36" t="str">
        <f aca="false">IF(B369="","",IFERROR(IF(N(INDEX(Fleet!$N$5:$N$79,MATCH(B369,Fleet!$A$5:$A$79,0)))&gt;0,INDEX(Fleet!$N$5:$N$79,MATCH(B369,Fleet!$A$5:$A$79,0)),Assumptions!$B$7),Assumptions!$B$7))</f>
        <v/>
      </c>
      <c r="H369" s="34" t="str">
        <f aca="false">IF(OR(F369="",G369=""),"",F369*G369)</f>
        <v/>
      </c>
      <c r="I369" s="32"/>
      <c r="J369" s="32"/>
      <c r="K369" s="37"/>
      <c r="L369" s="38" t="str">
        <f aca="false">IF(C369="","",DATE(YEAR(C369),MONTH(C369),1))</f>
        <v/>
      </c>
      <c r="M369" s="34" t="str">
        <f aca="false">IF(F369="","",N(H369)+N(I369)-N(J369))</f>
        <v/>
      </c>
      <c r="N369" s="29"/>
    </row>
    <row r="370" customFormat="false" ht="15" hidden="false" customHeight="false" outlineLevel="0" collapsed="false">
      <c r="A370" s="29"/>
      <c r="B370" s="29"/>
      <c r="C370" s="31"/>
      <c r="D370" s="31"/>
      <c r="E370" s="35" t="str">
        <f aca="false">IF(OR(C370="",D370=""),"",MAX(1,D370-C370))</f>
        <v/>
      </c>
      <c r="F370" s="32"/>
      <c r="G370" s="36" t="str">
        <f aca="false">IF(B370="","",IFERROR(IF(N(INDEX(Fleet!$N$5:$N$79,MATCH(B370,Fleet!$A$5:$A$79,0)))&gt;0,INDEX(Fleet!$N$5:$N$79,MATCH(B370,Fleet!$A$5:$A$79,0)),Assumptions!$B$7),Assumptions!$B$7))</f>
        <v/>
      </c>
      <c r="H370" s="34" t="str">
        <f aca="false">IF(OR(F370="",G370=""),"",F370*G370)</f>
        <v/>
      </c>
      <c r="I370" s="32"/>
      <c r="J370" s="32"/>
      <c r="K370" s="37"/>
      <c r="L370" s="38" t="str">
        <f aca="false">IF(C370="","",DATE(YEAR(C370),MONTH(C370),1))</f>
        <v/>
      </c>
      <c r="M370" s="34" t="str">
        <f aca="false">IF(F370="","",N(H370)+N(I370)-N(J370))</f>
        <v/>
      </c>
      <c r="N370" s="29"/>
    </row>
    <row r="371" customFormat="false" ht="15" hidden="false" customHeight="false" outlineLevel="0" collapsed="false">
      <c r="A371" s="29"/>
      <c r="B371" s="29"/>
      <c r="C371" s="31"/>
      <c r="D371" s="31"/>
      <c r="E371" s="35" t="str">
        <f aca="false">IF(OR(C371="",D371=""),"",MAX(1,D371-C371))</f>
        <v/>
      </c>
      <c r="F371" s="32"/>
      <c r="G371" s="36" t="str">
        <f aca="false">IF(B371="","",IFERROR(IF(N(INDEX(Fleet!$N$5:$N$79,MATCH(B371,Fleet!$A$5:$A$79,0)))&gt;0,INDEX(Fleet!$N$5:$N$79,MATCH(B371,Fleet!$A$5:$A$79,0)),Assumptions!$B$7),Assumptions!$B$7))</f>
        <v/>
      </c>
      <c r="H371" s="34" t="str">
        <f aca="false">IF(OR(F371="",G371=""),"",F371*G371)</f>
        <v/>
      </c>
      <c r="I371" s="32"/>
      <c r="J371" s="32"/>
      <c r="K371" s="37"/>
      <c r="L371" s="38" t="str">
        <f aca="false">IF(C371="","",DATE(YEAR(C371),MONTH(C371),1))</f>
        <v/>
      </c>
      <c r="M371" s="34" t="str">
        <f aca="false">IF(F371="","",N(H371)+N(I371)-N(J371))</f>
        <v/>
      </c>
      <c r="N371" s="29"/>
    </row>
    <row r="372" customFormat="false" ht="15" hidden="false" customHeight="false" outlineLevel="0" collapsed="false">
      <c r="A372" s="29"/>
      <c r="B372" s="29"/>
      <c r="C372" s="31"/>
      <c r="D372" s="31"/>
      <c r="E372" s="35" t="str">
        <f aca="false">IF(OR(C372="",D372=""),"",MAX(1,D372-C372))</f>
        <v/>
      </c>
      <c r="F372" s="32"/>
      <c r="G372" s="36" t="str">
        <f aca="false">IF(B372="","",IFERROR(IF(N(INDEX(Fleet!$N$5:$N$79,MATCH(B372,Fleet!$A$5:$A$79,0)))&gt;0,INDEX(Fleet!$N$5:$N$79,MATCH(B372,Fleet!$A$5:$A$79,0)),Assumptions!$B$7),Assumptions!$B$7))</f>
        <v/>
      </c>
      <c r="H372" s="34" t="str">
        <f aca="false">IF(OR(F372="",G372=""),"",F372*G372)</f>
        <v/>
      </c>
      <c r="I372" s="32"/>
      <c r="J372" s="32"/>
      <c r="K372" s="37"/>
      <c r="L372" s="38" t="str">
        <f aca="false">IF(C372="","",DATE(YEAR(C372),MONTH(C372),1))</f>
        <v/>
      </c>
      <c r="M372" s="34" t="str">
        <f aca="false">IF(F372="","",N(H372)+N(I372)-N(J372))</f>
        <v/>
      </c>
      <c r="N372" s="29"/>
    </row>
    <row r="373" customFormat="false" ht="15" hidden="false" customHeight="false" outlineLevel="0" collapsed="false">
      <c r="A373" s="29"/>
      <c r="B373" s="29"/>
      <c r="C373" s="31"/>
      <c r="D373" s="31"/>
      <c r="E373" s="35" t="str">
        <f aca="false">IF(OR(C373="",D373=""),"",MAX(1,D373-C373))</f>
        <v/>
      </c>
      <c r="F373" s="32"/>
      <c r="G373" s="36" t="str">
        <f aca="false">IF(B373="","",IFERROR(IF(N(INDEX(Fleet!$N$5:$N$79,MATCH(B373,Fleet!$A$5:$A$79,0)))&gt;0,INDEX(Fleet!$N$5:$N$79,MATCH(B373,Fleet!$A$5:$A$79,0)),Assumptions!$B$7),Assumptions!$B$7))</f>
        <v/>
      </c>
      <c r="H373" s="34" t="str">
        <f aca="false">IF(OR(F373="",G373=""),"",F373*G373)</f>
        <v/>
      </c>
      <c r="I373" s="32"/>
      <c r="J373" s="32"/>
      <c r="K373" s="37"/>
      <c r="L373" s="38" t="str">
        <f aca="false">IF(C373="","",DATE(YEAR(C373),MONTH(C373),1))</f>
        <v/>
      </c>
      <c r="M373" s="34" t="str">
        <f aca="false">IF(F373="","",N(H373)+N(I373)-N(J373))</f>
        <v/>
      </c>
      <c r="N373" s="29"/>
    </row>
    <row r="374" customFormat="false" ht="15" hidden="false" customHeight="false" outlineLevel="0" collapsed="false">
      <c r="A374" s="29"/>
      <c r="B374" s="29"/>
      <c r="C374" s="31"/>
      <c r="D374" s="31"/>
      <c r="E374" s="35" t="str">
        <f aca="false">IF(OR(C374="",D374=""),"",MAX(1,D374-C374))</f>
        <v/>
      </c>
      <c r="F374" s="32"/>
      <c r="G374" s="36" t="str">
        <f aca="false">IF(B374="","",IFERROR(IF(N(INDEX(Fleet!$N$5:$N$79,MATCH(B374,Fleet!$A$5:$A$79,0)))&gt;0,INDEX(Fleet!$N$5:$N$79,MATCH(B374,Fleet!$A$5:$A$79,0)),Assumptions!$B$7),Assumptions!$B$7))</f>
        <v/>
      </c>
      <c r="H374" s="34" t="str">
        <f aca="false">IF(OR(F374="",G374=""),"",F374*G374)</f>
        <v/>
      </c>
      <c r="I374" s="32"/>
      <c r="J374" s="32"/>
      <c r="K374" s="37"/>
      <c r="L374" s="38" t="str">
        <f aca="false">IF(C374="","",DATE(YEAR(C374),MONTH(C374),1))</f>
        <v/>
      </c>
      <c r="M374" s="34" t="str">
        <f aca="false">IF(F374="","",N(H374)+N(I374)-N(J374))</f>
        <v/>
      </c>
      <c r="N374" s="29"/>
    </row>
    <row r="375" customFormat="false" ht="15" hidden="false" customHeight="false" outlineLevel="0" collapsed="false">
      <c r="A375" s="29"/>
      <c r="B375" s="29"/>
      <c r="C375" s="31"/>
      <c r="D375" s="31"/>
      <c r="E375" s="35" t="str">
        <f aca="false">IF(OR(C375="",D375=""),"",MAX(1,D375-C375))</f>
        <v/>
      </c>
      <c r="F375" s="32"/>
      <c r="G375" s="36" t="str">
        <f aca="false">IF(B375="","",IFERROR(IF(N(INDEX(Fleet!$N$5:$N$79,MATCH(B375,Fleet!$A$5:$A$79,0)))&gt;0,INDEX(Fleet!$N$5:$N$79,MATCH(B375,Fleet!$A$5:$A$79,0)),Assumptions!$B$7),Assumptions!$B$7))</f>
        <v/>
      </c>
      <c r="H375" s="34" t="str">
        <f aca="false">IF(OR(F375="",G375=""),"",F375*G375)</f>
        <v/>
      </c>
      <c r="I375" s="32"/>
      <c r="J375" s="32"/>
      <c r="K375" s="37"/>
      <c r="L375" s="38" t="str">
        <f aca="false">IF(C375="","",DATE(YEAR(C375),MONTH(C375),1))</f>
        <v/>
      </c>
      <c r="M375" s="34" t="str">
        <f aca="false">IF(F375="","",N(H375)+N(I375)-N(J375))</f>
        <v/>
      </c>
      <c r="N375" s="29"/>
    </row>
    <row r="376" customFormat="false" ht="15" hidden="false" customHeight="false" outlineLevel="0" collapsed="false">
      <c r="A376" s="29"/>
      <c r="B376" s="29"/>
      <c r="C376" s="31"/>
      <c r="D376" s="31"/>
      <c r="E376" s="35" t="str">
        <f aca="false">IF(OR(C376="",D376=""),"",MAX(1,D376-C376))</f>
        <v/>
      </c>
      <c r="F376" s="32"/>
      <c r="G376" s="36" t="str">
        <f aca="false">IF(B376="","",IFERROR(IF(N(INDEX(Fleet!$N$5:$N$79,MATCH(B376,Fleet!$A$5:$A$79,0)))&gt;0,INDEX(Fleet!$N$5:$N$79,MATCH(B376,Fleet!$A$5:$A$79,0)),Assumptions!$B$7),Assumptions!$B$7))</f>
        <v/>
      </c>
      <c r="H376" s="34" t="str">
        <f aca="false">IF(OR(F376="",G376=""),"",F376*G376)</f>
        <v/>
      </c>
      <c r="I376" s="32"/>
      <c r="J376" s="32"/>
      <c r="K376" s="37"/>
      <c r="L376" s="38" t="str">
        <f aca="false">IF(C376="","",DATE(YEAR(C376),MONTH(C376),1))</f>
        <v/>
      </c>
      <c r="M376" s="34" t="str">
        <f aca="false">IF(F376="","",N(H376)+N(I376)-N(J376))</f>
        <v/>
      </c>
      <c r="N376" s="29"/>
    </row>
    <row r="377" customFormat="false" ht="15" hidden="false" customHeight="false" outlineLevel="0" collapsed="false">
      <c r="A377" s="29"/>
      <c r="B377" s="29"/>
      <c r="C377" s="31"/>
      <c r="D377" s="31"/>
      <c r="E377" s="35" t="str">
        <f aca="false">IF(OR(C377="",D377=""),"",MAX(1,D377-C377))</f>
        <v/>
      </c>
      <c r="F377" s="32"/>
      <c r="G377" s="36" t="str">
        <f aca="false">IF(B377="","",IFERROR(IF(N(INDEX(Fleet!$N$5:$N$79,MATCH(B377,Fleet!$A$5:$A$79,0)))&gt;0,INDEX(Fleet!$N$5:$N$79,MATCH(B377,Fleet!$A$5:$A$79,0)),Assumptions!$B$7),Assumptions!$B$7))</f>
        <v/>
      </c>
      <c r="H377" s="34" t="str">
        <f aca="false">IF(OR(F377="",G377=""),"",F377*G377)</f>
        <v/>
      </c>
      <c r="I377" s="32"/>
      <c r="J377" s="32"/>
      <c r="K377" s="37"/>
      <c r="L377" s="38" t="str">
        <f aca="false">IF(C377="","",DATE(YEAR(C377),MONTH(C377),1))</f>
        <v/>
      </c>
      <c r="M377" s="34" t="str">
        <f aca="false">IF(F377="","",N(H377)+N(I377)-N(J377))</f>
        <v/>
      </c>
      <c r="N377" s="29"/>
    </row>
    <row r="378" customFormat="false" ht="15" hidden="false" customHeight="false" outlineLevel="0" collapsed="false">
      <c r="A378" s="29"/>
      <c r="B378" s="29"/>
      <c r="C378" s="31"/>
      <c r="D378" s="31"/>
      <c r="E378" s="35" t="str">
        <f aca="false">IF(OR(C378="",D378=""),"",MAX(1,D378-C378))</f>
        <v/>
      </c>
      <c r="F378" s="32"/>
      <c r="G378" s="36" t="str">
        <f aca="false">IF(B378="","",IFERROR(IF(N(INDEX(Fleet!$N$5:$N$79,MATCH(B378,Fleet!$A$5:$A$79,0)))&gt;0,INDEX(Fleet!$N$5:$N$79,MATCH(B378,Fleet!$A$5:$A$79,0)),Assumptions!$B$7),Assumptions!$B$7))</f>
        <v/>
      </c>
      <c r="H378" s="34" t="str">
        <f aca="false">IF(OR(F378="",G378=""),"",F378*G378)</f>
        <v/>
      </c>
      <c r="I378" s="32"/>
      <c r="J378" s="32"/>
      <c r="K378" s="37"/>
      <c r="L378" s="38" t="str">
        <f aca="false">IF(C378="","",DATE(YEAR(C378),MONTH(C378),1))</f>
        <v/>
      </c>
      <c r="M378" s="34" t="str">
        <f aca="false">IF(F378="","",N(H378)+N(I378)-N(J378))</f>
        <v/>
      </c>
      <c r="N378" s="29"/>
    </row>
    <row r="379" customFormat="false" ht="15" hidden="false" customHeight="false" outlineLevel="0" collapsed="false">
      <c r="A379" s="29"/>
      <c r="B379" s="29"/>
      <c r="C379" s="31"/>
      <c r="D379" s="31"/>
      <c r="E379" s="35" t="str">
        <f aca="false">IF(OR(C379="",D379=""),"",MAX(1,D379-C379))</f>
        <v/>
      </c>
      <c r="F379" s="32"/>
      <c r="G379" s="36" t="str">
        <f aca="false">IF(B379="","",IFERROR(IF(N(INDEX(Fleet!$N$5:$N$79,MATCH(B379,Fleet!$A$5:$A$79,0)))&gt;0,INDEX(Fleet!$N$5:$N$79,MATCH(B379,Fleet!$A$5:$A$79,0)),Assumptions!$B$7),Assumptions!$B$7))</f>
        <v/>
      </c>
      <c r="H379" s="34" t="str">
        <f aca="false">IF(OR(F379="",G379=""),"",F379*G379)</f>
        <v/>
      </c>
      <c r="I379" s="32"/>
      <c r="J379" s="32"/>
      <c r="K379" s="37"/>
      <c r="L379" s="38" t="str">
        <f aca="false">IF(C379="","",DATE(YEAR(C379),MONTH(C379),1))</f>
        <v/>
      </c>
      <c r="M379" s="34" t="str">
        <f aca="false">IF(F379="","",N(H379)+N(I379)-N(J379))</f>
        <v/>
      </c>
      <c r="N379" s="29"/>
    </row>
    <row r="380" customFormat="false" ht="15" hidden="false" customHeight="false" outlineLevel="0" collapsed="false">
      <c r="A380" s="29"/>
      <c r="B380" s="29"/>
      <c r="C380" s="31"/>
      <c r="D380" s="31"/>
      <c r="E380" s="35" t="str">
        <f aca="false">IF(OR(C380="",D380=""),"",MAX(1,D380-C380))</f>
        <v/>
      </c>
      <c r="F380" s="32"/>
      <c r="G380" s="36" t="str">
        <f aca="false">IF(B380="","",IFERROR(IF(N(INDEX(Fleet!$N$5:$N$79,MATCH(B380,Fleet!$A$5:$A$79,0)))&gt;0,INDEX(Fleet!$N$5:$N$79,MATCH(B380,Fleet!$A$5:$A$79,0)),Assumptions!$B$7),Assumptions!$B$7))</f>
        <v/>
      </c>
      <c r="H380" s="34" t="str">
        <f aca="false">IF(OR(F380="",G380=""),"",F380*G380)</f>
        <v/>
      </c>
      <c r="I380" s="32"/>
      <c r="J380" s="32"/>
      <c r="K380" s="37"/>
      <c r="L380" s="38" t="str">
        <f aca="false">IF(C380="","",DATE(YEAR(C380),MONTH(C380),1))</f>
        <v/>
      </c>
      <c r="M380" s="34" t="str">
        <f aca="false">IF(F380="","",N(H380)+N(I380)-N(J380))</f>
        <v/>
      </c>
      <c r="N380" s="29"/>
    </row>
    <row r="381" customFormat="false" ht="15" hidden="false" customHeight="false" outlineLevel="0" collapsed="false">
      <c r="A381" s="29"/>
      <c r="B381" s="29"/>
      <c r="C381" s="31"/>
      <c r="D381" s="31"/>
      <c r="E381" s="35" t="str">
        <f aca="false">IF(OR(C381="",D381=""),"",MAX(1,D381-C381))</f>
        <v/>
      </c>
      <c r="F381" s="32"/>
      <c r="G381" s="36" t="str">
        <f aca="false">IF(B381="","",IFERROR(IF(N(INDEX(Fleet!$N$5:$N$79,MATCH(B381,Fleet!$A$5:$A$79,0)))&gt;0,INDEX(Fleet!$N$5:$N$79,MATCH(B381,Fleet!$A$5:$A$79,0)),Assumptions!$B$7),Assumptions!$B$7))</f>
        <v/>
      </c>
      <c r="H381" s="34" t="str">
        <f aca="false">IF(OR(F381="",G381=""),"",F381*G381)</f>
        <v/>
      </c>
      <c r="I381" s="32"/>
      <c r="J381" s="32"/>
      <c r="K381" s="37"/>
      <c r="L381" s="38" t="str">
        <f aca="false">IF(C381="","",DATE(YEAR(C381),MONTH(C381),1))</f>
        <v/>
      </c>
      <c r="M381" s="34" t="str">
        <f aca="false">IF(F381="","",N(H381)+N(I381)-N(J381))</f>
        <v/>
      </c>
      <c r="N381" s="29"/>
    </row>
    <row r="382" customFormat="false" ht="15" hidden="false" customHeight="false" outlineLevel="0" collapsed="false">
      <c r="A382" s="29"/>
      <c r="B382" s="29"/>
      <c r="C382" s="31"/>
      <c r="D382" s="31"/>
      <c r="E382" s="35" t="str">
        <f aca="false">IF(OR(C382="",D382=""),"",MAX(1,D382-C382))</f>
        <v/>
      </c>
      <c r="F382" s="32"/>
      <c r="G382" s="36" t="str">
        <f aca="false">IF(B382="","",IFERROR(IF(N(INDEX(Fleet!$N$5:$N$79,MATCH(B382,Fleet!$A$5:$A$79,0)))&gt;0,INDEX(Fleet!$N$5:$N$79,MATCH(B382,Fleet!$A$5:$A$79,0)),Assumptions!$B$7),Assumptions!$B$7))</f>
        <v/>
      </c>
      <c r="H382" s="34" t="str">
        <f aca="false">IF(OR(F382="",G382=""),"",F382*G382)</f>
        <v/>
      </c>
      <c r="I382" s="32"/>
      <c r="J382" s="32"/>
      <c r="K382" s="37"/>
      <c r="L382" s="38" t="str">
        <f aca="false">IF(C382="","",DATE(YEAR(C382),MONTH(C382),1))</f>
        <v/>
      </c>
      <c r="M382" s="34" t="str">
        <f aca="false">IF(F382="","",N(H382)+N(I382)-N(J382))</f>
        <v/>
      </c>
      <c r="N382" s="29"/>
    </row>
    <row r="383" customFormat="false" ht="15" hidden="false" customHeight="false" outlineLevel="0" collapsed="false">
      <c r="A383" s="29"/>
      <c r="B383" s="29"/>
      <c r="C383" s="31"/>
      <c r="D383" s="31"/>
      <c r="E383" s="35" t="str">
        <f aca="false">IF(OR(C383="",D383=""),"",MAX(1,D383-C383))</f>
        <v/>
      </c>
      <c r="F383" s="32"/>
      <c r="G383" s="36" t="str">
        <f aca="false">IF(B383="","",IFERROR(IF(N(INDEX(Fleet!$N$5:$N$79,MATCH(B383,Fleet!$A$5:$A$79,0)))&gt;0,INDEX(Fleet!$N$5:$N$79,MATCH(B383,Fleet!$A$5:$A$79,0)),Assumptions!$B$7),Assumptions!$B$7))</f>
        <v/>
      </c>
      <c r="H383" s="34" t="str">
        <f aca="false">IF(OR(F383="",G383=""),"",F383*G383)</f>
        <v/>
      </c>
      <c r="I383" s="32"/>
      <c r="J383" s="32"/>
      <c r="K383" s="37"/>
      <c r="L383" s="38" t="str">
        <f aca="false">IF(C383="","",DATE(YEAR(C383),MONTH(C383),1))</f>
        <v/>
      </c>
      <c r="M383" s="34" t="str">
        <f aca="false">IF(F383="","",N(H383)+N(I383)-N(J383))</f>
        <v/>
      </c>
      <c r="N383" s="29"/>
    </row>
    <row r="384" customFormat="false" ht="15" hidden="false" customHeight="false" outlineLevel="0" collapsed="false">
      <c r="A384" s="29"/>
      <c r="B384" s="29"/>
      <c r="C384" s="31"/>
      <c r="D384" s="31"/>
      <c r="E384" s="35" t="str">
        <f aca="false">IF(OR(C384="",D384=""),"",MAX(1,D384-C384))</f>
        <v/>
      </c>
      <c r="F384" s="32"/>
      <c r="G384" s="36" t="str">
        <f aca="false">IF(B384="","",IFERROR(IF(N(INDEX(Fleet!$N$5:$N$79,MATCH(B384,Fleet!$A$5:$A$79,0)))&gt;0,INDEX(Fleet!$N$5:$N$79,MATCH(B384,Fleet!$A$5:$A$79,0)),Assumptions!$B$7),Assumptions!$B$7))</f>
        <v/>
      </c>
      <c r="H384" s="34" t="str">
        <f aca="false">IF(OR(F384="",G384=""),"",F384*G384)</f>
        <v/>
      </c>
      <c r="I384" s="32"/>
      <c r="J384" s="32"/>
      <c r="K384" s="37"/>
      <c r="L384" s="38" t="str">
        <f aca="false">IF(C384="","",DATE(YEAR(C384),MONTH(C384),1))</f>
        <v/>
      </c>
      <c r="M384" s="34" t="str">
        <f aca="false">IF(F384="","",N(H384)+N(I384)-N(J384))</f>
        <v/>
      </c>
      <c r="N384" s="29"/>
    </row>
    <row r="385" customFormat="false" ht="15" hidden="false" customHeight="false" outlineLevel="0" collapsed="false">
      <c r="A385" s="29"/>
      <c r="B385" s="29"/>
      <c r="C385" s="31"/>
      <c r="D385" s="31"/>
      <c r="E385" s="35" t="str">
        <f aca="false">IF(OR(C385="",D385=""),"",MAX(1,D385-C385))</f>
        <v/>
      </c>
      <c r="F385" s="32"/>
      <c r="G385" s="36" t="str">
        <f aca="false">IF(B385="","",IFERROR(IF(N(INDEX(Fleet!$N$5:$N$79,MATCH(B385,Fleet!$A$5:$A$79,0)))&gt;0,INDEX(Fleet!$N$5:$N$79,MATCH(B385,Fleet!$A$5:$A$79,0)),Assumptions!$B$7),Assumptions!$B$7))</f>
        <v/>
      </c>
      <c r="H385" s="34" t="str">
        <f aca="false">IF(OR(F385="",G385=""),"",F385*G385)</f>
        <v/>
      </c>
      <c r="I385" s="32"/>
      <c r="J385" s="32"/>
      <c r="K385" s="37"/>
      <c r="L385" s="38" t="str">
        <f aca="false">IF(C385="","",DATE(YEAR(C385),MONTH(C385),1))</f>
        <v/>
      </c>
      <c r="M385" s="34" t="str">
        <f aca="false">IF(F385="","",N(H385)+N(I385)-N(J385))</f>
        <v/>
      </c>
      <c r="N385" s="29"/>
    </row>
    <row r="386" customFormat="false" ht="15" hidden="false" customHeight="false" outlineLevel="0" collapsed="false">
      <c r="A386" s="29"/>
      <c r="B386" s="29"/>
      <c r="C386" s="31"/>
      <c r="D386" s="31"/>
      <c r="E386" s="35" t="str">
        <f aca="false">IF(OR(C386="",D386=""),"",MAX(1,D386-C386))</f>
        <v/>
      </c>
      <c r="F386" s="32"/>
      <c r="G386" s="36" t="str">
        <f aca="false">IF(B386="","",IFERROR(IF(N(INDEX(Fleet!$N$5:$N$79,MATCH(B386,Fleet!$A$5:$A$79,0)))&gt;0,INDEX(Fleet!$N$5:$N$79,MATCH(B386,Fleet!$A$5:$A$79,0)),Assumptions!$B$7),Assumptions!$B$7))</f>
        <v/>
      </c>
      <c r="H386" s="34" t="str">
        <f aca="false">IF(OR(F386="",G386=""),"",F386*G386)</f>
        <v/>
      </c>
      <c r="I386" s="32"/>
      <c r="J386" s="32"/>
      <c r="K386" s="37"/>
      <c r="L386" s="38" t="str">
        <f aca="false">IF(C386="","",DATE(YEAR(C386),MONTH(C386),1))</f>
        <v/>
      </c>
      <c r="M386" s="34" t="str">
        <f aca="false">IF(F386="","",N(H386)+N(I386)-N(J386))</f>
        <v/>
      </c>
      <c r="N386" s="29"/>
    </row>
    <row r="387" customFormat="false" ht="15" hidden="false" customHeight="false" outlineLevel="0" collapsed="false">
      <c r="A387" s="29"/>
      <c r="B387" s="29"/>
      <c r="C387" s="31"/>
      <c r="D387" s="31"/>
      <c r="E387" s="35" t="str">
        <f aca="false">IF(OR(C387="",D387=""),"",MAX(1,D387-C387))</f>
        <v/>
      </c>
      <c r="F387" s="32"/>
      <c r="G387" s="36" t="str">
        <f aca="false">IF(B387="","",IFERROR(IF(N(INDEX(Fleet!$N$5:$N$79,MATCH(B387,Fleet!$A$5:$A$79,0)))&gt;0,INDEX(Fleet!$N$5:$N$79,MATCH(B387,Fleet!$A$5:$A$79,0)),Assumptions!$B$7),Assumptions!$B$7))</f>
        <v/>
      </c>
      <c r="H387" s="34" t="str">
        <f aca="false">IF(OR(F387="",G387=""),"",F387*G387)</f>
        <v/>
      </c>
      <c r="I387" s="32"/>
      <c r="J387" s="32"/>
      <c r="K387" s="37"/>
      <c r="L387" s="38" t="str">
        <f aca="false">IF(C387="","",DATE(YEAR(C387),MONTH(C387),1))</f>
        <v/>
      </c>
      <c r="M387" s="34" t="str">
        <f aca="false">IF(F387="","",N(H387)+N(I387)-N(J387))</f>
        <v/>
      </c>
      <c r="N387" s="29"/>
    </row>
    <row r="388" customFormat="false" ht="15" hidden="false" customHeight="false" outlineLevel="0" collapsed="false">
      <c r="A388" s="29"/>
      <c r="B388" s="29"/>
      <c r="C388" s="31"/>
      <c r="D388" s="31"/>
      <c r="E388" s="35" t="str">
        <f aca="false">IF(OR(C388="",D388=""),"",MAX(1,D388-C388))</f>
        <v/>
      </c>
      <c r="F388" s="32"/>
      <c r="G388" s="36" t="str">
        <f aca="false">IF(B388="","",IFERROR(IF(N(INDEX(Fleet!$N$5:$N$79,MATCH(B388,Fleet!$A$5:$A$79,0)))&gt;0,INDEX(Fleet!$N$5:$N$79,MATCH(B388,Fleet!$A$5:$A$79,0)),Assumptions!$B$7),Assumptions!$B$7))</f>
        <v/>
      </c>
      <c r="H388" s="34" t="str">
        <f aca="false">IF(OR(F388="",G388=""),"",F388*G388)</f>
        <v/>
      </c>
      <c r="I388" s="32"/>
      <c r="J388" s="32"/>
      <c r="K388" s="37"/>
      <c r="L388" s="38" t="str">
        <f aca="false">IF(C388="","",DATE(YEAR(C388),MONTH(C388),1))</f>
        <v/>
      </c>
      <c r="M388" s="34" t="str">
        <f aca="false">IF(F388="","",N(H388)+N(I388)-N(J388))</f>
        <v/>
      </c>
      <c r="N388" s="29"/>
    </row>
    <row r="389" customFormat="false" ht="15" hidden="false" customHeight="false" outlineLevel="0" collapsed="false">
      <c r="A389" s="29"/>
      <c r="B389" s="29"/>
      <c r="C389" s="31"/>
      <c r="D389" s="31"/>
      <c r="E389" s="35" t="str">
        <f aca="false">IF(OR(C389="",D389=""),"",MAX(1,D389-C389))</f>
        <v/>
      </c>
      <c r="F389" s="32"/>
      <c r="G389" s="36" t="str">
        <f aca="false">IF(B389="","",IFERROR(IF(N(INDEX(Fleet!$N$5:$N$79,MATCH(B389,Fleet!$A$5:$A$79,0)))&gt;0,INDEX(Fleet!$N$5:$N$79,MATCH(B389,Fleet!$A$5:$A$79,0)),Assumptions!$B$7),Assumptions!$B$7))</f>
        <v/>
      </c>
      <c r="H389" s="34" t="str">
        <f aca="false">IF(OR(F389="",G389=""),"",F389*G389)</f>
        <v/>
      </c>
      <c r="I389" s="32"/>
      <c r="J389" s="32"/>
      <c r="K389" s="37"/>
      <c r="L389" s="38" t="str">
        <f aca="false">IF(C389="","",DATE(YEAR(C389),MONTH(C389),1))</f>
        <v/>
      </c>
      <c r="M389" s="34" t="str">
        <f aca="false">IF(F389="","",N(H389)+N(I389)-N(J389))</f>
        <v/>
      </c>
      <c r="N389" s="29"/>
    </row>
    <row r="390" customFormat="false" ht="15" hidden="false" customHeight="false" outlineLevel="0" collapsed="false">
      <c r="A390" s="29"/>
      <c r="B390" s="29"/>
      <c r="C390" s="31"/>
      <c r="D390" s="31"/>
      <c r="E390" s="35" t="str">
        <f aca="false">IF(OR(C390="",D390=""),"",MAX(1,D390-C390))</f>
        <v/>
      </c>
      <c r="F390" s="32"/>
      <c r="G390" s="36" t="str">
        <f aca="false">IF(B390="","",IFERROR(IF(N(INDEX(Fleet!$N$5:$N$79,MATCH(B390,Fleet!$A$5:$A$79,0)))&gt;0,INDEX(Fleet!$N$5:$N$79,MATCH(B390,Fleet!$A$5:$A$79,0)),Assumptions!$B$7),Assumptions!$B$7))</f>
        <v/>
      </c>
      <c r="H390" s="34" t="str">
        <f aca="false">IF(OR(F390="",G390=""),"",F390*G390)</f>
        <v/>
      </c>
      <c r="I390" s="32"/>
      <c r="J390" s="32"/>
      <c r="K390" s="37"/>
      <c r="L390" s="38" t="str">
        <f aca="false">IF(C390="","",DATE(YEAR(C390),MONTH(C390),1))</f>
        <v/>
      </c>
      <c r="M390" s="34" t="str">
        <f aca="false">IF(F390="","",N(H390)+N(I390)-N(J390))</f>
        <v/>
      </c>
      <c r="N390" s="29"/>
    </row>
    <row r="391" customFormat="false" ht="15" hidden="false" customHeight="false" outlineLevel="0" collapsed="false">
      <c r="A391" s="29"/>
      <c r="B391" s="29"/>
      <c r="C391" s="31"/>
      <c r="D391" s="31"/>
      <c r="E391" s="35" t="str">
        <f aca="false">IF(OR(C391="",D391=""),"",MAX(1,D391-C391))</f>
        <v/>
      </c>
      <c r="F391" s="32"/>
      <c r="G391" s="36" t="str">
        <f aca="false">IF(B391="","",IFERROR(IF(N(INDEX(Fleet!$N$5:$N$79,MATCH(B391,Fleet!$A$5:$A$79,0)))&gt;0,INDEX(Fleet!$N$5:$N$79,MATCH(B391,Fleet!$A$5:$A$79,0)),Assumptions!$B$7),Assumptions!$B$7))</f>
        <v/>
      </c>
      <c r="H391" s="34" t="str">
        <f aca="false">IF(OR(F391="",G391=""),"",F391*G391)</f>
        <v/>
      </c>
      <c r="I391" s="32"/>
      <c r="J391" s="32"/>
      <c r="K391" s="37"/>
      <c r="L391" s="38" t="str">
        <f aca="false">IF(C391="","",DATE(YEAR(C391),MONTH(C391),1))</f>
        <v/>
      </c>
      <c r="M391" s="34" t="str">
        <f aca="false">IF(F391="","",N(H391)+N(I391)-N(J391))</f>
        <v/>
      </c>
      <c r="N391" s="29"/>
    </row>
    <row r="392" customFormat="false" ht="15" hidden="false" customHeight="false" outlineLevel="0" collapsed="false">
      <c r="A392" s="29"/>
      <c r="B392" s="29"/>
      <c r="C392" s="31"/>
      <c r="D392" s="31"/>
      <c r="E392" s="35" t="str">
        <f aca="false">IF(OR(C392="",D392=""),"",MAX(1,D392-C392))</f>
        <v/>
      </c>
      <c r="F392" s="32"/>
      <c r="G392" s="36" t="str">
        <f aca="false">IF(B392="","",IFERROR(IF(N(INDEX(Fleet!$N$5:$N$79,MATCH(B392,Fleet!$A$5:$A$79,0)))&gt;0,INDEX(Fleet!$N$5:$N$79,MATCH(B392,Fleet!$A$5:$A$79,0)),Assumptions!$B$7),Assumptions!$B$7))</f>
        <v/>
      </c>
      <c r="H392" s="34" t="str">
        <f aca="false">IF(OR(F392="",G392=""),"",F392*G392)</f>
        <v/>
      </c>
      <c r="I392" s="32"/>
      <c r="J392" s="32"/>
      <c r="K392" s="37"/>
      <c r="L392" s="38" t="str">
        <f aca="false">IF(C392="","",DATE(YEAR(C392),MONTH(C392),1))</f>
        <v/>
      </c>
      <c r="M392" s="34" t="str">
        <f aca="false">IF(F392="","",N(H392)+N(I392)-N(J392))</f>
        <v/>
      </c>
      <c r="N392" s="29"/>
    </row>
    <row r="393" customFormat="false" ht="15" hidden="false" customHeight="false" outlineLevel="0" collapsed="false">
      <c r="A393" s="29"/>
      <c r="B393" s="29"/>
      <c r="C393" s="31"/>
      <c r="D393" s="31"/>
      <c r="E393" s="35" t="str">
        <f aca="false">IF(OR(C393="",D393=""),"",MAX(1,D393-C393))</f>
        <v/>
      </c>
      <c r="F393" s="32"/>
      <c r="G393" s="36" t="str">
        <f aca="false">IF(B393="","",IFERROR(IF(N(INDEX(Fleet!$N$5:$N$79,MATCH(B393,Fleet!$A$5:$A$79,0)))&gt;0,INDEX(Fleet!$N$5:$N$79,MATCH(B393,Fleet!$A$5:$A$79,0)),Assumptions!$B$7),Assumptions!$B$7))</f>
        <v/>
      </c>
      <c r="H393" s="34" t="str">
        <f aca="false">IF(OR(F393="",G393=""),"",F393*G393)</f>
        <v/>
      </c>
      <c r="I393" s="32"/>
      <c r="J393" s="32"/>
      <c r="K393" s="37"/>
      <c r="L393" s="38" t="str">
        <f aca="false">IF(C393="","",DATE(YEAR(C393),MONTH(C393),1))</f>
        <v/>
      </c>
      <c r="M393" s="34" t="str">
        <f aca="false">IF(F393="","",N(H393)+N(I393)-N(J393))</f>
        <v/>
      </c>
      <c r="N393" s="29"/>
    </row>
    <row r="394" customFormat="false" ht="15" hidden="false" customHeight="false" outlineLevel="0" collapsed="false">
      <c r="A394" s="29"/>
      <c r="B394" s="29"/>
      <c r="C394" s="31"/>
      <c r="D394" s="31"/>
      <c r="E394" s="35" t="str">
        <f aca="false">IF(OR(C394="",D394=""),"",MAX(1,D394-C394))</f>
        <v/>
      </c>
      <c r="F394" s="32"/>
      <c r="G394" s="36" t="str">
        <f aca="false">IF(B394="","",IFERROR(IF(N(INDEX(Fleet!$N$5:$N$79,MATCH(B394,Fleet!$A$5:$A$79,0)))&gt;0,INDEX(Fleet!$N$5:$N$79,MATCH(B394,Fleet!$A$5:$A$79,0)),Assumptions!$B$7),Assumptions!$B$7))</f>
        <v/>
      </c>
      <c r="H394" s="34" t="str">
        <f aca="false">IF(OR(F394="",G394=""),"",F394*G394)</f>
        <v/>
      </c>
      <c r="I394" s="32"/>
      <c r="J394" s="32"/>
      <c r="K394" s="37"/>
      <c r="L394" s="38" t="str">
        <f aca="false">IF(C394="","",DATE(YEAR(C394),MONTH(C394),1))</f>
        <v/>
      </c>
      <c r="M394" s="34" t="str">
        <f aca="false">IF(F394="","",N(H394)+N(I394)-N(J394))</f>
        <v/>
      </c>
      <c r="N394" s="29"/>
    </row>
    <row r="395" customFormat="false" ht="15" hidden="false" customHeight="false" outlineLevel="0" collapsed="false">
      <c r="A395" s="29"/>
      <c r="B395" s="29"/>
      <c r="C395" s="31"/>
      <c r="D395" s="31"/>
      <c r="E395" s="35" t="str">
        <f aca="false">IF(OR(C395="",D395=""),"",MAX(1,D395-C395))</f>
        <v/>
      </c>
      <c r="F395" s="32"/>
      <c r="G395" s="36" t="str">
        <f aca="false">IF(B395="","",IFERROR(IF(N(INDEX(Fleet!$N$5:$N$79,MATCH(B395,Fleet!$A$5:$A$79,0)))&gt;0,INDEX(Fleet!$N$5:$N$79,MATCH(B395,Fleet!$A$5:$A$79,0)),Assumptions!$B$7),Assumptions!$B$7))</f>
        <v/>
      </c>
      <c r="H395" s="34" t="str">
        <f aca="false">IF(OR(F395="",G395=""),"",F395*G395)</f>
        <v/>
      </c>
      <c r="I395" s="32"/>
      <c r="J395" s="32"/>
      <c r="K395" s="37"/>
      <c r="L395" s="38" t="str">
        <f aca="false">IF(C395="","",DATE(YEAR(C395),MONTH(C395),1))</f>
        <v/>
      </c>
      <c r="M395" s="34" t="str">
        <f aca="false">IF(F395="","",N(H395)+N(I395)-N(J395))</f>
        <v/>
      </c>
      <c r="N395" s="29"/>
    </row>
    <row r="396" customFormat="false" ht="15" hidden="false" customHeight="false" outlineLevel="0" collapsed="false">
      <c r="A396" s="29"/>
      <c r="B396" s="29"/>
      <c r="C396" s="31"/>
      <c r="D396" s="31"/>
      <c r="E396" s="35" t="str">
        <f aca="false">IF(OR(C396="",D396=""),"",MAX(1,D396-C396))</f>
        <v/>
      </c>
      <c r="F396" s="32"/>
      <c r="G396" s="36" t="str">
        <f aca="false">IF(B396="","",IFERROR(IF(N(INDEX(Fleet!$N$5:$N$79,MATCH(B396,Fleet!$A$5:$A$79,0)))&gt;0,INDEX(Fleet!$N$5:$N$79,MATCH(B396,Fleet!$A$5:$A$79,0)),Assumptions!$B$7),Assumptions!$B$7))</f>
        <v/>
      </c>
      <c r="H396" s="34" t="str">
        <f aca="false">IF(OR(F396="",G396=""),"",F396*G396)</f>
        <v/>
      </c>
      <c r="I396" s="32"/>
      <c r="J396" s="32"/>
      <c r="K396" s="37"/>
      <c r="L396" s="38" t="str">
        <f aca="false">IF(C396="","",DATE(YEAR(C396),MONTH(C396),1))</f>
        <v/>
      </c>
      <c r="M396" s="34" t="str">
        <f aca="false">IF(F396="","",N(H396)+N(I396)-N(J396))</f>
        <v/>
      </c>
      <c r="N396" s="29"/>
    </row>
    <row r="397" customFormat="false" ht="15" hidden="false" customHeight="false" outlineLevel="0" collapsed="false">
      <c r="A397" s="29"/>
      <c r="B397" s="29"/>
      <c r="C397" s="31"/>
      <c r="D397" s="31"/>
      <c r="E397" s="35" t="str">
        <f aca="false">IF(OR(C397="",D397=""),"",MAX(1,D397-C397))</f>
        <v/>
      </c>
      <c r="F397" s="32"/>
      <c r="G397" s="36" t="str">
        <f aca="false">IF(B397="","",IFERROR(IF(N(INDEX(Fleet!$N$5:$N$79,MATCH(B397,Fleet!$A$5:$A$79,0)))&gt;0,INDEX(Fleet!$N$5:$N$79,MATCH(B397,Fleet!$A$5:$A$79,0)),Assumptions!$B$7),Assumptions!$B$7))</f>
        <v/>
      </c>
      <c r="H397" s="34" t="str">
        <f aca="false">IF(OR(F397="",G397=""),"",F397*G397)</f>
        <v/>
      </c>
      <c r="I397" s="32"/>
      <c r="J397" s="32"/>
      <c r="K397" s="37"/>
      <c r="L397" s="38" t="str">
        <f aca="false">IF(C397="","",DATE(YEAR(C397),MONTH(C397),1))</f>
        <v/>
      </c>
      <c r="M397" s="34" t="str">
        <f aca="false">IF(F397="","",N(H397)+N(I397)-N(J397))</f>
        <v/>
      </c>
      <c r="N397" s="29"/>
    </row>
    <row r="398" customFormat="false" ht="15" hidden="false" customHeight="false" outlineLevel="0" collapsed="false">
      <c r="A398" s="29"/>
      <c r="B398" s="29"/>
      <c r="C398" s="31"/>
      <c r="D398" s="31"/>
      <c r="E398" s="35" t="str">
        <f aca="false">IF(OR(C398="",D398=""),"",MAX(1,D398-C398))</f>
        <v/>
      </c>
      <c r="F398" s="32"/>
      <c r="G398" s="36" t="str">
        <f aca="false">IF(B398="","",IFERROR(IF(N(INDEX(Fleet!$N$5:$N$79,MATCH(B398,Fleet!$A$5:$A$79,0)))&gt;0,INDEX(Fleet!$N$5:$N$79,MATCH(B398,Fleet!$A$5:$A$79,0)),Assumptions!$B$7),Assumptions!$B$7))</f>
        <v/>
      </c>
      <c r="H398" s="34" t="str">
        <f aca="false">IF(OR(F398="",G398=""),"",F398*G398)</f>
        <v/>
      </c>
      <c r="I398" s="32"/>
      <c r="J398" s="32"/>
      <c r="K398" s="37"/>
      <c r="L398" s="38" t="str">
        <f aca="false">IF(C398="","",DATE(YEAR(C398),MONTH(C398),1))</f>
        <v/>
      </c>
      <c r="M398" s="34" t="str">
        <f aca="false">IF(F398="","",N(H398)+N(I398)-N(J398))</f>
        <v/>
      </c>
      <c r="N398" s="29"/>
    </row>
    <row r="399" customFormat="false" ht="15" hidden="false" customHeight="false" outlineLevel="0" collapsed="false">
      <c r="A399" s="29"/>
      <c r="B399" s="29"/>
      <c r="C399" s="31"/>
      <c r="D399" s="31"/>
      <c r="E399" s="35" t="str">
        <f aca="false">IF(OR(C399="",D399=""),"",MAX(1,D399-C399))</f>
        <v/>
      </c>
      <c r="F399" s="32"/>
      <c r="G399" s="36" t="str">
        <f aca="false">IF(B399="","",IFERROR(IF(N(INDEX(Fleet!$N$5:$N$79,MATCH(B399,Fleet!$A$5:$A$79,0)))&gt;0,INDEX(Fleet!$N$5:$N$79,MATCH(B399,Fleet!$A$5:$A$79,0)),Assumptions!$B$7),Assumptions!$B$7))</f>
        <v/>
      </c>
      <c r="H399" s="34" t="str">
        <f aca="false">IF(OR(F399="",G399=""),"",F399*G399)</f>
        <v/>
      </c>
      <c r="I399" s="32"/>
      <c r="J399" s="32"/>
      <c r="K399" s="37"/>
      <c r="L399" s="38" t="str">
        <f aca="false">IF(C399="","",DATE(YEAR(C399),MONTH(C399),1))</f>
        <v/>
      </c>
      <c r="M399" s="34" t="str">
        <f aca="false">IF(F399="","",N(H399)+N(I399)-N(J399))</f>
        <v/>
      </c>
      <c r="N399" s="29"/>
    </row>
    <row r="400" customFormat="false" ht="15" hidden="false" customHeight="false" outlineLevel="0" collapsed="false">
      <c r="A400" s="29"/>
      <c r="B400" s="29"/>
      <c r="C400" s="31"/>
      <c r="D400" s="31"/>
      <c r="E400" s="35" t="str">
        <f aca="false">IF(OR(C400="",D400=""),"",MAX(1,D400-C400))</f>
        <v/>
      </c>
      <c r="F400" s="32"/>
      <c r="G400" s="36" t="str">
        <f aca="false">IF(B400="","",IFERROR(IF(N(INDEX(Fleet!$N$5:$N$79,MATCH(B400,Fleet!$A$5:$A$79,0)))&gt;0,INDEX(Fleet!$N$5:$N$79,MATCH(B400,Fleet!$A$5:$A$79,0)),Assumptions!$B$7),Assumptions!$B$7))</f>
        <v/>
      </c>
      <c r="H400" s="34" t="str">
        <f aca="false">IF(OR(F400="",G400=""),"",F400*G400)</f>
        <v/>
      </c>
      <c r="I400" s="32"/>
      <c r="J400" s="32"/>
      <c r="K400" s="37"/>
      <c r="L400" s="38" t="str">
        <f aca="false">IF(C400="","",DATE(YEAR(C400),MONTH(C400),1))</f>
        <v/>
      </c>
      <c r="M400" s="34" t="str">
        <f aca="false">IF(F400="","",N(H400)+N(I400)-N(J400))</f>
        <v/>
      </c>
      <c r="N400" s="29"/>
    </row>
    <row r="401" customFormat="false" ht="15" hidden="false" customHeight="false" outlineLevel="0" collapsed="false">
      <c r="A401" s="29"/>
      <c r="B401" s="29"/>
      <c r="C401" s="31"/>
      <c r="D401" s="31"/>
      <c r="E401" s="35" t="str">
        <f aca="false">IF(OR(C401="",D401=""),"",MAX(1,D401-C401))</f>
        <v/>
      </c>
      <c r="F401" s="32"/>
      <c r="G401" s="36" t="str">
        <f aca="false">IF(B401="","",IFERROR(IF(N(INDEX(Fleet!$N$5:$N$79,MATCH(B401,Fleet!$A$5:$A$79,0)))&gt;0,INDEX(Fleet!$N$5:$N$79,MATCH(B401,Fleet!$A$5:$A$79,0)),Assumptions!$B$7),Assumptions!$B$7))</f>
        <v/>
      </c>
      <c r="H401" s="34" t="str">
        <f aca="false">IF(OR(F401="",G401=""),"",F401*G401)</f>
        <v/>
      </c>
      <c r="I401" s="32"/>
      <c r="J401" s="32"/>
      <c r="K401" s="37"/>
      <c r="L401" s="38" t="str">
        <f aca="false">IF(C401="","",DATE(YEAR(C401),MONTH(C401),1))</f>
        <v/>
      </c>
      <c r="M401" s="34" t="str">
        <f aca="false">IF(F401="","",N(H401)+N(I401)-N(J401))</f>
        <v/>
      </c>
      <c r="N401" s="29"/>
    </row>
    <row r="402" customFormat="false" ht="15" hidden="false" customHeight="false" outlineLevel="0" collapsed="false">
      <c r="A402" s="29"/>
      <c r="B402" s="29"/>
      <c r="C402" s="31"/>
      <c r="D402" s="31"/>
      <c r="E402" s="35" t="str">
        <f aca="false">IF(OR(C402="",D402=""),"",MAX(1,D402-C402))</f>
        <v/>
      </c>
      <c r="F402" s="32"/>
      <c r="G402" s="36" t="str">
        <f aca="false">IF(B402="","",IFERROR(IF(N(INDEX(Fleet!$N$5:$N$79,MATCH(B402,Fleet!$A$5:$A$79,0)))&gt;0,INDEX(Fleet!$N$5:$N$79,MATCH(B402,Fleet!$A$5:$A$79,0)),Assumptions!$B$7),Assumptions!$B$7))</f>
        <v/>
      </c>
      <c r="H402" s="34" t="str">
        <f aca="false">IF(OR(F402="",G402=""),"",F402*G402)</f>
        <v/>
      </c>
      <c r="I402" s="32"/>
      <c r="J402" s="32"/>
      <c r="K402" s="37"/>
      <c r="L402" s="38" t="str">
        <f aca="false">IF(C402="","",DATE(YEAR(C402),MONTH(C402),1))</f>
        <v/>
      </c>
      <c r="M402" s="34" t="str">
        <f aca="false">IF(F402="","",N(H402)+N(I402)-N(J402))</f>
        <v/>
      </c>
      <c r="N402" s="29"/>
    </row>
    <row r="403" customFormat="false" ht="15" hidden="false" customHeight="false" outlineLevel="0" collapsed="false">
      <c r="A403" s="29"/>
      <c r="B403" s="29"/>
      <c r="C403" s="31"/>
      <c r="D403" s="31"/>
      <c r="E403" s="35" t="str">
        <f aca="false">IF(OR(C403="",D403=""),"",MAX(1,D403-C403))</f>
        <v/>
      </c>
      <c r="F403" s="32"/>
      <c r="G403" s="36" t="str">
        <f aca="false">IF(B403="","",IFERROR(IF(N(INDEX(Fleet!$N$5:$N$79,MATCH(B403,Fleet!$A$5:$A$79,0)))&gt;0,INDEX(Fleet!$N$5:$N$79,MATCH(B403,Fleet!$A$5:$A$79,0)),Assumptions!$B$7),Assumptions!$B$7))</f>
        <v/>
      </c>
      <c r="H403" s="34" t="str">
        <f aca="false">IF(OR(F403="",G403=""),"",F403*G403)</f>
        <v/>
      </c>
      <c r="I403" s="32"/>
      <c r="J403" s="32"/>
      <c r="K403" s="37"/>
      <c r="L403" s="38" t="str">
        <f aca="false">IF(C403="","",DATE(YEAR(C403),MONTH(C403),1))</f>
        <v/>
      </c>
      <c r="M403" s="34" t="str">
        <f aca="false">IF(F403="","",N(H403)+N(I403)-N(J403))</f>
        <v/>
      </c>
      <c r="N403" s="29"/>
    </row>
    <row r="404" customFormat="false" ht="15" hidden="false" customHeight="false" outlineLevel="0" collapsed="false">
      <c r="A404" s="29"/>
      <c r="B404" s="29"/>
      <c r="C404" s="31"/>
      <c r="D404" s="31"/>
      <c r="E404" s="35" t="str">
        <f aca="false">IF(OR(C404="",D404=""),"",MAX(1,D404-C404))</f>
        <v/>
      </c>
      <c r="F404" s="32"/>
      <c r="G404" s="36" t="str">
        <f aca="false">IF(B404="","",IFERROR(IF(N(INDEX(Fleet!$N$5:$N$79,MATCH(B404,Fleet!$A$5:$A$79,0)))&gt;0,INDEX(Fleet!$N$5:$N$79,MATCH(B404,Fleet!$A$5:$A$79,0)),Assumptions!$B$7),Assumptions!$B$7))</f>
        <v/>
      </c>
      <c r="H404" s="34" t="str">
        <f aca="false">IF(OR(F404="",G404=""),"",F404*G404)</f>
        <v/>
      </c>
      <c r="I404" s="32"/>
      <c r="J404" s="32"/>
      <c r="K404" s="37"/>
      <c r="L404" s="38" t="str">
        <f aca="false">IF(C404="","",DATE(YEAR(C404),MONTH(C404),1))</f>
        <v/>
      </c>
      <c r="M404" s="34" t="str">
        <f aca="false">IF(F404="","",N(H404)+N(I404)-N(J404))</f>
        <v/>
      </c>
      <c r="N404" s="29"/>
    </row>
    <row r="405" customFormat="false" ht="15" hidden="false" customHeight="false" outlineLevel="0" collapsed="false">
      <c r="A405" s="29"/>
      <c r="B405" s="29"/>
      <c r="C405" s="31"/>
      <c r="D405" s="31"/>
      <c r="E405" s="35" t="str">
        <f aca="false">IF(OR(C405="",D405=""),"",MAX(1,D405-C405))</f>
        <v/>
      </c>
      <c r="F405" s="32"/>
      <c r="G405" s="36" t="str">
        <f aca="false">IF(B405="","",IFERROR(IF(N(INDEX(Fleet!$N$5:$N$79,MATCH(B405,Fleet!$A$5:$A$79,0)))&gt;0,INDEX(Fleet!$N$5:$N$79,MATCH(B405,Fleet!$A$5:$A$79,0)),Assumptions!$B$7),Assumptions!$B$7))</f>
        <v/>
      </c>
      <c r="H405" s="34" t="str">
        <f aca="false">IF(OR(F405="",G405=""),"",F405*G405)</f>
        <v/>
      </c>
      <c r="I405" s="32"/>
      <c r="J405" s="32"/>
      <c r="K405" s="37"/>
      <c r="L405" s="38" t="str">
        <f aca="false">IF(C405="","",DATE(YEAR(C405),MONTH(C405),1))</f>
        <v/>
      </c>
      <c r="M405" s="34" t="str">
        <f aca="false">IF(F405="","",N(H405)+N(I405)-N(J405))</f>
        <v/>
      </c>
      <c r="N405" s="29"/>
    </row>
    <row r="406" customFormat="false" ht="15" hidden="false" customHeight="false" outlineLevel="0" collapsed="false">
      <c r="A406" s="29"/>
      <c r="B406" s="29"/>
      <c r="C406" s="31"/>
      <c r="D406" s="31"/>
      <c r="E406" s="35" t="str">
        <f aca="false">IF(OR(C406="",D406=""),"",MAX(1,D406-C406))</f>
        <v/>
      </c>
      <c r="F406" s="32"/>
      <c r="G406" s="36" t="str">
        <f aca="false">IF(B406="","",IFERROR(IF(N(INDEX(Fleet!$N$5:$N$79,MATCH(B406,Fleet!$A$5:$A$79,0)))&gt;0,INDEX(Fleet!$N$5:$N$79,MATCH(B406,Fleet!$A$5:$A$79,0)),Assumptions!$B$7),Assumptions!$B$7))</f>
        <v/>
      </c>
      <c r="H406" s="34" t="str">
        <f aca="false">IF(OR(F406="",G406=""),"",F406*G406)</f>
        <v/>
      </c>
      <c r="I406" s="32"/>
      <c r="J406" s="32"/>
      <c r="K406" s="37"/>
      <c r="L406" s="38" t="str">
        <f aca="false">IF(C406="","",DATE(YEAR(C406),MONTH(C406),1))</f>
        <v/>
      </c>
      <c r="M406" s="34" t="str">
        <f aca="false">IF(F406="","",N(H406)+N(I406)-N(J406))</f>
        <v/>
      </c>
      <c r="N406" s="29"/>
    </row>
    <row r="407" customFormat="false" ht="15" hidden="false" customHeight="false" outlineLevel="0" collapsed="false">
      <c r="A407" s="29"/>
      <c r="B407" s="29"/>
      <c r="C407" s="31"/>
      <c r="D407" s="31"/>
      <c r="E407" s="35" t="str">
        <f aca="false">IF(OR(C407="",D407=""),"",MAX(1,D407-C407))</f>
        <v/>
      </c>
      <c r="F407" s="32"/>
      <c r="G407" s="36" t="str">
        <f aca="false">IF(B407="","",IFERROR(IF(N(INDEX(Fleet!$N$5:$N$79,MATCH(B407,Fleet!$A$5:$A$79,0)))&gt;0,INDEX(Fleet!$N$5:$N$79,MATCH(B407,Fleet!$A$5:$A$79,0)),Assumptions!$B$7),Assumptions!$B$7))</f>
        <v/>
      </c>
      <c r="H407" s="34" t="str">
        <f aca="false">IF(OR(F407="",G407=""),"",F407*G407)</f>
        <v/>
      </c>
      <c r="I407" s="32"/>
      <c r="J407" s="32"/>
      <c r="K407" s="37"/>
      <c r="L407" s="38" t="str">
        <f aca="false">IF(C407="","",DATE(YEAR(C407),MONTH(C407),1))</f>
        <v/>
      </c>
      <c r="M407" s="34" t="str">
        <f aca="false">IF(F407="","",N(H407)+N(I407)-N(J407))</f>
        <v/>
      </c>
      <c r="N407" s="29"/>
    </row>
    <row r="408" customFormat="false" ht="15" hidden="false" customHeight="false" outlineLevel="0" collapsed="false">
      <c r="A408" s="29"/>
      <c r="B408" s="29"/>
      <c r="C408" s="31"/>
      <c r="D408" s="31"/>
      <c r="E408" s="35" t="str">
        <f aca="false">IF(OR(C408="",D408=""),"",MAX(1,D408-C408))</f>
        <v/>
      </c>
      <c r="F408" s="32"/>
      <c r="G408" s="36" t="str">
        <f aca="false">IF(B408="","",IFERROR(IF(N(INDEX(Fleet!$N$5:$N$79,MATCH(B408,Fleet!$A$5:$A$79,0)))&gt;0,INDEX(Fleet!$N$5:$N$79,MATCH(B408,Fleet!$A$5:$A$79,0)),Assumptions!$B$7),Assumptions!$B$7))</f>
        <v/>
      </c>
      <c r="H408" s="34" t="str">
        <f aca="false">IF(OR(F408="",G408=""),"",F408*G408)</f>
        <v/>
      </c>
      <c r="I408" s="32"/>
      <c r="J408" s="32"/>
      <c r="K408" s="37"/>
      <c r="L408" s="38" t="str">
        <f aca="false">IF(C408="","",DATE(YEAR(C408),MONTH(C408),1))</f>
        <v/>
      </c>
      <c r="M408" s="34" t="str">
        <f aca="false">IF(F408="","",N(H408)+N(I408)-N(J408))</f>
        <v/>
      </c>
      <c r="N408" s="29"/>
    </row>
    <row r="409" customFormat="false" ht="15" hidden="false" customHeight="false" outlineLevel="0" collapsed="false">
      <c r="A409" s="29"/>
      <c r="B409" s="29"/>
      <c r="C409" s="31"/>
      <c r="D409" s="31"/>
      <c r="E409" s="35" t="str">
        <f aca="false">IF(OR(C409="",D409=""),"",MAX(1,D409-C409))</f>
        <v/>
      </c>
      <c r="F409" s="32"/>
      <c r="G409" s="36" t="str">
        <f aca="false">IF(B409="","",IFERROR(IF(N(INDEX(Fleet!$N$5:$N$79,MATCH(B409,Fleet!$A$5:$A$79,0)))&gt;0,INDEX(Fleet!$N$5:$N$79,MATCH(B409,Fleet!$A$5:$A$79,0)),Assumptions!$B$7),Assumptions!$B$7))</f>
        <v/>
      </c>
      <c r="H409" s="34" t="str">
        <f aca="false">IF(OR(F409="",G409=""),"",F409*G409)</f>
        <v/>
      </c>
      <c r="I409" s="32"/>
      <c r="J409" s="32"/>
      <c r="K409" s="37"/>
      <c r="L409" s="38" t="str">
        <f aca="false">IF(C409="","",DATE(YEAR(C409),MONTH(C409),1))</f>
        <v/>
      </c>
      <c r="M409" s="34" t="str">
        <f aca="false">IF(F409="","",N(H409)+N(I409)-N(J409))</f>
        <v/>
      </c>
      <c r="N409" s="29"/>
    </row>
    <row r="410" customFormat="false" ht="15" hidden="false" customHeight="false" outlineLevel="0" collapsed="false">
      <c r="A410" s="29"/>
      <c r="B410" s="29"/>
      <c r="C410" s="31"/>
      <c r="D410" s="31"/>
      <c r="E410" s="35" t="str">
        <f aca="false">IF(OR(C410="",D410=""),"",MAX(1,D410-C410))</f>
        <v/>
      </c>
      <c r="F410" s="32"/>
      <c r="G410" s="36" t="str">
        <f aca="false">IF(B410="","",IFERROR(IF(N(INDEX(Fleet!$N$5:$N$79,MATCH(B410,Fleet!$A$5:$A$79,0)))&gt;0,INDEX(Fleet!$N$5:$N$79,MATCH(B410,Fleet!$A$5:$A$79,0)),Assumptions!$B$7),Assumptions!$B$7))</f>
        <v/>
      </c>
      <c r="H410" s="34" t="str">
        <f aca="false">IF(OR(F410="",G410=""),"",F410*G410)</f>
        <v/>
      </c>
      <c r="I410" s="32"/>
      <c r="J410" s="32"/>
      <c r="K410" s="37"/>
      <c r="L410" s="38" t="str">
        <f aca="false">IF(C410="","",DATE(YEAR(C410),MONTH(C410),1))</f>
        <v/>
      </c>
      <c r="M410" s="34" t="str">
        <f aca="false">IF(F410="","",N(H410)+N(I410)-N(J410))</f>
        <v/>
      </c>
      <c r="N410" s="29"/>
    </row>
    <row r="411" customFormat="false" ht="15" hidden="false" customHeight="false" outlineLevel="0" collapsed="false">
      <c r="A411" s="29"/>
      <c r="B411" s="29"/>
      <c r="C411" s="31"/>
      <c r="D411" s="31"/>
      <c r="E411" s="35" t="str">
        <f aca="false">IF(OR(C411="",D411=""),"",MAX(1,D411-C411))</f>
        <v/>
      </c>
      <c r="F411" s="32"/>
      <c r="G411" s="36" t="str">
        <f aca="false">IF(B411="","",IFERROR(IF(N(INDEX(Fleet!$N$5:$N$79,MATCH(B411,Fleet!$A$5:$A$79,0)))&gt;0,INDEX(Fleet!$N$5:$N$79,MATCH(B411,Fleet!$A$5:$A$79,0)),Assumptions!$B$7),Assumptions!$B$7))</f>
        <v/>
      </c>
      <c r="H411" s="34" t="str">
        <f aca="false">IF(OR(F411="",G411=""),"",F411*G411)</f>
        <v/>
      </c>
      <c r="I411" s="32"/>
      <c r="J411" s="32"/>
      <c r="K411" s="37"/>
      <c r="L411" s="38" t="str">
        <f aca="false">IF(C411="","",DATE(YEAR(C411),MONTH(C411),1))</f>
        <v/>
      </c>
      <c r="M411" s="34" t="str">
        <f aca="false">IF(F411="","",N(H411)+N(I411)-N(J411))</f>
        <v/>
      </c>
      <c r="N411" s="29"/>
    </row>
    <row r="412" customFormat="false" ht="15" hidden="false" customHeight="false" outlineLevel="0" collapsed="false">
      <c r="A412" s="29"/>
      <c r="B412" s="29"/>
      <c r="C412" s="31"/>
      <c r="D412" s="31"/>
      <c r="E412" s="35" t="str">
        <f aca="false">IF(OR(C412="",D412=""),"",MAX(1,D412-C412))</f>
        <v/>
      </c>
      <c r="F412" s="32"/>
      <c r="G412" s="36" t="str">
        <f aca="false">IF(B412="","",IFERROR(IF(N(INDEX(Fleet!$N$5:$N$79,MATCH(B412,Fleet!$A$5:$A$79,0)))&gt;0,INDEX(Fleet!$N$5:$N$79,MATCH(B412,Fleet!$A$5:$A$79,0)),Assumptions!$B$7),Assumptions!$B$7))</f>
        <v/>
      </c>
      <c r="H412" s="34" t="str">
        <f aca="false">IF(OR(F412="",G412=""),"",F412*G412)</f>
        <v/>
      </c>
      <c r="I412" s="32"/>
      <c r="J412" s="32"/>
      <c r="K412" s="37"/>
      <c r="L412" s="38" t="str">
        <f aca="false">IF(C412="","",DATE(YEAR(C412),MONTH(C412),1))</f>
        <v/>
      </c>
      <c r="M412" s="34" t="str">
        <f aca="false">IF(F412="","",N(H412)+N(I412)-N(J412))</f>
        <v/>
      </c>
      <c r="N412" s="29"/>
    </row>
    <row r="413" customFormat="false" ht="15" hidden="false" customHeight="false" outlineLevel="0" collapsed="false">
      <c r="A413" s="29"/>
      <c r="B413" s="29"/>
      <c r="C413" s="31"/>
      <c r="D413" s="31"/>
      <c r="E413" s="35" t="str">
        <f aca="false">IF(OR(C413="",D413=""),"",MAX(1,D413-C413))</f>
        <v/>
      </c>
      <c r="F413" s="32"/>
      <c r="G413" s="36" t="str">
        <f aca="false">IF(B413="","",IFERROR(IF(N(INDEX(Fleet!$N$5:$N$79,MATCH(B413,Fleet!$A$5:$A$79,0)))&gt;0,INDEX(Fleet!$N$5:$N$79,MATCH(B413,Fleet!$A$5:$A$79,0)),Assumptions!$B$7),Assumptions!$B$7))</f>
        <v/>
      </c>
      <c r="H413" s="34" t="str">
        <f aca="false">IF(OR(F413="",G413=""),"",F413*G413)</f>
        <v/>
      </c>
      <c r="I413" s="32"/>
      <c r="J413" s="32"/>
      <c r="K413" s="37"/>
      <c r="L413" s="38" t="str">
        <f aca="false">IF(C413="","",DATE(YEAR(C413),MONTH(C413),1))</f>
        <v/>
      </c>
      <c r="M413" s="34" t="str">
        <f aca="false">IF(F413="","",N(H413)+N(I413)-N(J413))</f>
        <v/>
      </c>
      <c r="N413" s="29"/>
    </row>
    <row r="414" customFormat="false" ht="15" hidden="false" customHeight="false" outlineLevel="0" collapsed="false">
      <c r="A414" s="29"/>
      <c r="B414" s="29"/>
      <c r="C414" s="31"/>
      <c r="D414" s="31"/>
      <c r="E414" s="35" t="str">
        <f aca="false">IF(OR(C414="",D414=""),"",MAX(1,D414-C414))</f>
        <v/>
      </c>
      <c r="F414" s="32"/>
      <c r="G414" s="36" t="str">
        <f aca="false">IF(B414="","",IFERROR(IF(N(INDEX(Fleet!$N$5:$N$79,MATCH(B414,Fleet!$A$5:$A$79,0)))&gt;0,INDEX(Fleet!$N$5:$N$79,MATCH(B414,Fleet!$A$5:$A$79,0)),Assumptions!$B$7),Assumptions!$B$7))</f>
        <v/>
      </c>
      <c r="H414" s="34" t="str">
        <f aca="false">IF(OR(F414="",G414=""),"",F414*G414)</f>
        <v/>
      </c>
      <c r="I414" s="32"/>
      <c r="J414" s="32"/>
      <c r="K414" s="37"/>
      <c r="L414" s="38" t="str">
        <f aca="false">IF(C414="","",DATE(YEAR(C414),MONTH(C414),1))</f>
        <v/>
      </c>
      <c r="M414" s="34" t="str">
        <f aca="false">IF(F414="","",N(H414)+N(I414)-N(J414))</f>
        <v/>
      </c>
      <c r="N414" s="29"/>
    </row>
    <row r="415" customFormat="false" ht="15" hidden="false" customHeight="false" outlineLevel="0" collapsed="false">
      <c r="A415" s="29"/>
      <c r="B415" s="29"/>
      <c r="C415" s="31"/>
      <c r="D415" s="31"/>
      <c r="E415" s="35" t="str">
        <f aca="false">IF(OR(C415="",D415=""),"",MAX(1,D415-C415))</f>
        <v/>
      </c>
      <c r="F415" s="32"/>
      <c r="G415" s="36" t="str">
        <f aca="false">IF(B415="","",IFERROR(IF(N(INDEX(Fleet!$N$5:$N$79,MATCH(B415,Fleet!$A$5:$A$79,0)))&gt;0,INDEX(Fleet!$N$5:$N$79,MATCH(B415,Fleet!$A$5:$A$79,0)),Assumptions!$B$7),Assumptions!$B$7))</f>
        <v/>
      </c>
      <c r="H415" s="34" t="str">
        <f aca="false">IF(OR(F415="",G415=""),"",F415*G415)</f>
        <v/>
      </c>
      <c r="I415" s="32"/>
      <c r="J415" s="32"/>
      <c r="K415" s="37"/>
      <c r="L415" s="38" t="str">
        <f aca="false">IF(C415="","",DATE(YEAR(C415),MONTH(C415),1))</f>
        <v/>
      </c>
      <c r="M415" s="34" t="str">
        <f aca="false">IF(F415="","",N(H415)+N(I415)-N(J415))</f>
        <v/>
      </c>
      <c r="N415" s="29"/>
    </row>
    <row r="416" customFormat="false" ht="15" hidden="false" customHeight="false" outlineLevel="0" collapsed="false">
      <c r="A416" s="29"/>
      <c r="B416" s="29"/>
      <c r="C416" s="31"/>
      <c r="D416" s="31"/>
      <c r="E416" s="35" t="str">
        <f aca="false">IF(OR(C416="",D416=""),"",MAX(1,D416-C416))</f>
        <v/>
      </c>
      <c r="F416" s="32"/>
      <c r="G416" s="36" t="str">
        <f aca="false">IF(B416="","",IFERROR(IF(N(INDEX(Fleet!$N$5:$N$79,MATCH(B416,Fleet!$A$5:$A$79,0)))&gt;0,INDEX(Fleet!$N$5:$N$79,MATCH(B416,Fleet!$A$5:$A$79,0)),Assumptions!$B$7),Assumptions!$B$7))</f>
        <v/>
      </c>
      <c r="H416" s="34" t="str">
        <f aca="false">IF(OR(F416="",G416=""),"",F416*G416)</f>
        <v/>
      </c>
      <c r="I416" s="32"/>
      <c r="J416" s="32"/>
      <c r="K416" s="37"/>
      <c r="L416" s="38" t="str">
        <f aca="false">IF(C416="","",DATE(YEAR(C416),MONTH(C416),1))</f>
        <v/>
      </c>
      <c r="M416" s="34" t="str">
        <f aca="false">IF(F416="","",N(H416)+N(I416)-N(J416))</f>
        <v/>
      </c>
      <c r="N416" s="29"/>
    </row>
    <row r="417" customFormat="false" ht="15" hidden="false" customHeight="false" outlineLevel="0" collapsed="false">
      <c r="A417" s="29"/>
      <c r="B417" s="29"/>
      <c r="C417" s="31"/>
      <c r="D417" s="31"/>
      <c r="E417" s="35" t="str">
        <f aca="false">IF(OR(C417="",D417=""),"",MAX(1,D417-C417))</f>
        <v/>
      </c>
      <c r="F417" s="32"/>
      <c r="G417" s="36" t="str">
        <f aca="false">IF(B417="","",IFERROR(IF(N(INDEX(Fleet!$N$5:$N$79,MATCH(B417,Fleet!$A$5:$A$79,0)))&gt;0,INDEX(Fleet!$N$5:$N$79,MATCH(B417,Fleet!$A$5:$A$79,0)),Assumptions!$B$7),Assumptions!$B$7))</f>
        <v/>
      </c>
      <c r="H417" s="34" t="str">
        <f aca="false">IF(OR(F417="",G417=""),"",F417*G417)</f>
        <v/>
      </c>
      <c r="I417" s="32"/>
      <c r="J417" s="32"/>
      <c r="K417" s="37"/>
      <c r="L417" s="38" t="str">
        <f aca="false">IF(C417="","",DATE(YEAR(C417),MONTH(C417),1))</f>
        <v/>
      </c>
      <c r="M417" s="34" t="str">
        <f aca="false">IF(F417="","",N(H417)+N(I417)-N(J417))</f>
        <v/>
      </c>
      <c r="N417" s="29"/>
    </row>
    <row r="418" customFormat="false" ht="15" hidden="false" customHeight="false" outlineLevel="0" collapsed="false">
      <c r="A418" s="29"/>
      <c r="B418" s="29"/>
      <c r="C418" s="31"/>
      <c r="D418" s="31"/>
      <c r="E418" s="35" t="str">
        <f aca="false">IF(OR(C418="",D418=""),"",MAX(1,D418-C418))</f>
        <v/>
      </c>
      <c r="F418" s="32"/>
      <c r="G418" s="36" t="str">
        <f aca="false">IF(B418="","",IFERROR(IF(N(INDEX(Fleet!$N$5:$N$79,MATCH(B418,Fleet!$A$5:$A$79,0)))&gt;0,INDEX(Fleet!$N$5:$N$79,MATCH(B418,Fleet!$A$5:$A$79,0)),Assumptions!$B$7),Assumptions!$B$7))</f>
        <v/>
      </c>
      <c r="H418" s="34" t="str">
        <f aca="false">IF(OR(F418="",G418=""),"",F418*G418)</f>
        <v/>
      </c>
      <c r="I418" s="32"/>
      <c r="J418" s="32"/>
      <c r="K418" s="37"/>
      <c r="L418" s="38" t="str">
        <f aca="false">IF(C418="","",DATE(YEAR(C418),MONTH(C418),1))</f>
        <v/>
      </c>
      <c r="M418" s="34" t="str">
        <f aca="false">IF(F418="","",N(H418)+N(I418)-N(J418))</f>
        <v/>
      </c>
      <c r="N418" s="29"/>
    </row>
    <row r="419" customFormat="false" ht="15" hidden="false" customHeight="false" outlineLevel="0" collapsed="false">
      <c r="A419" s="29"/>
      <c r="B419" s="29"/>
      <c r="C419" s="31"/>
      <c r="D419" s="31"/>
      <c r="E419" s="35" t="str">
        <f aca="false">IF(OR(C419="",D419=""),"",MAX(1,D419-C419))</f>
        <v/>
      </c>
      <c r="F419" s="32"/>
      <c r="G419" s="36" t="str">
        <f aca="false">IF(B419="","",IFERROR(IF(N(INDEX(Fleet!$N$5:$N$79,MATCH(B419,Fleet!$A$5:$A$79,0)))&gt;0,INDEX(Fleet!$N$5:$N$79,MATCH(B419,Fleet!$A$5:$A$79,0)),Assumptions!$B$7),Assumptions!$B$7))</f>
        <v/>
      </c>
      <c r="H419" s="34" t="str">
        <f aca="false">IF(OR(F419="",G419=""),"",F419*G419)</f>
        <v/>
      </c>
      <c r="I419" s="32"/>
      <c r="J419" s="32"/>
      <c r="K419" s="37"/>
      <c r="L419" s="38" t="str">
        <f aca="false">IF(C419="","",DATE(YEAR(C419),MONTH(C419),1))</f>
        <v/>
      </c>
      <c r="M419" s="34" t="str">
        <f aca="false">IF(F419="","",N(H419)+N(I419)-N(J419))</f>
        <v/>
      </c>
      <c r="N419" s="29"/>
    </row>
    <row r="420" customFormat="false" ht="15" hidden="false" customHeight="false" outlineLevel="0" collapsed="false">
      <c r="A420" s="29"/>
      <c r="B420" s="29"/>
      <c r="C420" s="31"/>
      <c r="D420" s="31"/>
      <c r="E420" s="35" t="str">
        <f aca="false">IF(OR(C420="",D420=""),"",MAX(1,D420-C420))</f>
        <v/>
      </c>
      <c r="F420" s="32"/>
      <c r="G420" s="36" t="str">
        <f aca="false">IF(B420="","",IFERROR(IF(N(INDEX(Fleet!$N$5:$N$79,MATCH(B420,Fleet!$A$5:$A$79,0)))&gt;0,INDEX(Fleet!$N$5:$N$79,MATCH(B420,Fleet!$A$5:$A$79,0)),Assumptions!$B$7),Assumptions!$B$7))</f>
        <v/>
      </c>
      <c r="H420" s="34" t="str">
        <f aca="false">IF(OR(F420="",G420=""),"",F420*G420)</f>
        <v/>
      </c>
      <c r="I420" s="32"/>
      <c r="J420" s="32"/>
      <c r="K420" s="37"/>
      <c r="L420" s="38" t="str">
        <f aca="false">IF(C420="","",DATE(YEAR(C420),MONTH(C420),1))</f>
        <v/>
      </c>
      <c r="M420" s="34" t="str">
        <f aca="false">IF(F420="","",N(H420)+N(I420)-N(J420))</f>
        <v/>
      </c>
      <c r="N420" s="29"/>
    </row>
    <row r="421" customFormat="false" ht="15" hidden="false" customHeight="false" outlineLevel="0" collapsed="false">
      <c r="A421" s="29"/>
      <c r="B421" s="29"/>
      <c r="C421" s="31"/>
      <c r="D421" s="31"/>
      <c r="E421" s="35" t="str">
        <f aca="false">IF(OR(C421="",D421=""),"",MAX(1,D421-C421))</f>
        <v/>
      </c>
      <c r="F421" s="32"/>
      <c r="G421" s="36" t="str">
        <f aca="false">IF(B421="","",IFERROR(IF(N(INDEX(Fleet!$N$5:$N$79,MATCH(B421,Fleet!$A$5:$A$79,0)))&gt;0,INDEX(Fleet!$N$5:$N$79,MATCH(B421,Fleet!$A$5:$A$79,0)),Assumptions!$B$7),Assumptions!$B$7))</f>
        <v/>
      </c>
      <c r="H421" s="34" t="str">
        <f aca="false">IF(OR(F421="",G421=""),"",F421*G421)</f>
        <v/>
      </c>
      <c r="I421" s="32"/>
      <c r="J421" s="32"/>
      <c r="K421" s="37"/>
      <c r="L421" s="38" t="str">
        <f aca="false">IF(C421="","",DATE(YEAR(C421),MONTH(C421),1))</f>
        <v/>
      </c>
      <c r="M421" s="34" t="str">
        <f aca="false">IF(F421="","",N(H421)+N(I421)-N(J421))</f>
        <v/>
      </c>
      <c r="N421" s="29"/>
    </row>
    <row r="422" customFormat="false" ht="15" hidden="false" customHeight="false" outlineLevel="0" collapsed="false">
      <c r="A422" s="29"/>
      <c r="B422" s="29"/>
      <c r="C422" s="31"/>
      <c r="D422" s="31"/>
      <c r="E422" s="35" t="str">
        <f aca="false">IF(OR(C422="",D422=""),"",MAX(1,D422-C422))</f>
        <v/>
      </c>
      <c r="F422" s="32"/>
      <c r="G422" s="36" t="str">
        <f aca="false">IF(B422="","",IFERROR(IF(N(INDEX(Fleet!$N$5:$N$79,MATCH(B422,Fleet!$A$5:$A$79,0)))&gt;0,INDEX(Fleet!$N$5:$N$79,MATCH(B422,Fleet!$A$5:$A$79,0)),Assumptions!$B$7),Assumptions!$B$7))</f>
        <v/>
      </c>
      <c r="H422" s="34" t="str">
        <f aca="false">IF(OR(F422="",G422=""),"",F422*G422)</f>
        <v/>
      </c>
      <c r="I422" s="32"/>
      <c r="J422" s="32"/>
      <c r="K422" s="37"/>
      <c r="L422" s="38" t="str">
        <f aca="false">IF(C422="","",DATE(YEAR(C422),MONTH(C422),1))</f>
        <v/>
      </c>
      <c r="M422" s="34" t="str">
        <f aca="false">IF(F422="","",N(H422)+N(I422)-N(J422))</f>
        <v/>
      </c>
      <c r="N422" s="29"/>
    </row>
    <row r="423" customFormat="false" ht="15" hidden="false" customHeight="false" outlineLevel="0" collapsed="false">
      <c r="A423" s="29"/>
      <c r="B423" s="29"/>
      <c r="C423" s="31"/>
      <c r="D423" s="31"/>
      <c r="E423" s="35" t="str">
        <f aca="false">IF(OR(C423="",D423=""),"",MAX(1,D423-C423))</f>
        <v/>
      </c>
      <c r="F423" s="32"/>
      <c r="G423" s="36" t="str">
        <f aca="false">IF(B423="","",IFERROR(IF(N(INDEX(Fleet!$N$5:$N$79,MATCH(B423,Fleet!$A$5:$A$79,0)))&gt;0,INDEX(Fleet!$N$5:$N$79,MATCH(B423,Fleet!$A$5:$A$79,0)),Assumptions!$B$7),Assumptions!$B$7))</f>
        <v/>
      </c>
      <c r="H423" s="34" t="str">
        <f aca="false">IF(OR(F423="",G423=""),"",F423*G423)</f>
        <v/>
      </c>
      <c r="I423" s="32"/>
      <c r="J423" s="32"/>
      <c r="K423" s="37"/>
      <c r="L423" s="38" t="str">
        <f aca="false">IF(C423="","",DATE(YEAR(C423),MONTH(C423),1))</f>
        <v/>
      </c>
      <c r="M423" s="34" t="str">
        <f aca="false">IF(F423="","",N(H423)+N(I423)-N(J423))</f>
        <v/>
      </c>
      <c r="N423" s="29"/>
    </row>
    <row r="424" customFormat="false" ht="15" hidden="false" customHeight="false" outlineLevel="0" collapsed="false">
      <c r="A424" s="29"/>
      <c r="B424" s="29"/>
      <c r="C424" s="31"/>
      <c r="D424" s="31"/>
      <c r="E424" s="35" t="str">
        <f aca="false">IF(OR(C424="",D424=""),"",MAX(1,D424-C424))</f>
        <v/>
      </c>
      <c r="F424" s="32"/>
      <c r="G424" s="36" t="str">
        <f aca="false">IF(B424="","",IFERROR(IF(N(INDEX(Fleet!$N$5:$N$79,MATCH(B424,Fleet!$A$5:$A$79,0)))&gt;0,INDEX(Fleet!$N$5:$N$79,MATCH(B424,Fleet!$A$5:$A$79,0)),Assumptions!$B$7),Assumptions!$B$7))</f>
        <v/>
      </c>
      <c r="H424" s="34" t="str">
        <f aca="false">IF(OR(F424="",G424=""),"",F424*G424)</f>
        <v/>
      </c>
      <c r="I424" s="32"/>
      <c r="J424" s="32"/>
      <c r="K424" s="37"/>
      <c r="L424" s="38" t="str">
        <f aca="false">IF(C424="","",DATE(YEAR(C424),MONTH(C424),1))</f>
        <v/>
      </c>
      <c r="M424" s="34" t="str">
        <f aca="false">IF(F424="","",N(H424)+N(I424)-N(J424))</f>
        <v/>
      </c>
      <c r="N424" s="29"/>
    </row>
    <row r="425" customFormat="false" ht="15" hidden="false" customHeight="false" outlineLevel="0" collapsed="false">
      <c r="A425" s="29"/>
      <c r="B425" s="29"/>
      <c r="C425" s="31"/>
      <c r="D425" s="31"/>
      <c r="E425" s="35" t="str">
        <f aca="false">IF(OR(C425="",D425=""),"",MAX(1,D425-C425))</f>
        <v/>
      </c>
      <c r="F425" s="32"/>
      <c r="G425" s="36" t="str">
        <f aca="false">IF(B425="","",IFERROR(IF(N(INDEX(Fleet!$N$5:$N$79,MATCH(B425,Fleet!$A$5:$A$79,0)))&gt;0,INDEX(Fleet!$N$5:$N$79,MATCH(B425,Fleet!$A$5:$A$79,0)),Assumptions!$B$7),Assumptions!$B$7))</f>
        <v/>
      </c>
      <c r="H425" s="34" t="str">
        <f aca="false">IF(OR(F425="",G425=""),"",F425*G425)</f>
        <v/>
      </c>
      <c r="I425" s="32"/>
      <c r="J425" s="32"/>
      <c r="K425" s="37"/>
      <c r="L425" s="38" t="str">
        <f aca="false">IF(C425="","",DATE(YEAR(C425),MONTH(C425),1))</f>
        <v/>
      </c>
      <c r="M425" s="34" t="str">
        <f aca="false">IF(F425="","",N(H425)+N(I425)-N(J425))</f>
        <v/>
      </c>
      <c r="N425" s="29"/>
    </row>
    <row r="426" customFormat="false" ht="15" hidden="false" customHeight="false" outlineLevel="0" collapsed="false">
      <c r="A426" s="29"/>
      <c r="B426" s="29"/>
      <c r="C426" s="31"/>
      <c r="D426" s="31"/>
      <c r="E426" s="35" t="str">
        <f aca="false">IF(OR(C426="",D426=""),"",MAX(1,D426-C426))</f>
        <v/>
      </c>
      <c r="F426" s="32"/>
      <c r="G426" s="36" t="str">
        <f aca="false">IF(B426="","",IFERROR(IF(N(INDEX(Fleet!$N$5:$N$79,MATCH(B426,Fleet!$A$5:$A$79,0)))&gt;0,INDEX(Fleet!$N$5:$N$79,MATCH(B426,Fleet!$A$5:$A$79,0)),Assumptions!$B$7),Assumptions!$B$7))</f>
        <v/>
      </c>
      <c r="H426" s="34" t="str">
        <f aca="false">IF(OR(F426="",G426=""),"",F426*G426)</f>
        <v/>
      </c>
      <c r="I426" s="32"/>
      <c r="J426" s="32"/>
      <c r="K426" s="37"/>
      <c r="L426" s="38" t="str">
        <f aca="false">IF(C426="","",DATE(YEAR(C426),MONTH(C426),1))</f>
        <v/>
      </c>
      <c r="M426" s="34" t="str">
        <f aca="false">IF(F426="","",N(H426)+N(I426)-N(J426))</f>
        <v/>
      </c>
      <c r="N426" s="29"/>
    </row>
    <row r="427" customFormat="false" ht="15" hidden="false" customHeight="false" outlineLevel="0" collapsed="false">
      <c r="A427" s="29"/>
      <c r="B427" s="29"/>
      <c r="C427" s="31"/>
      <c r="D427" s="31"/>
      <c r="E427" s="35" t="str">
        <f aca="false">IF(OR(C427="",D427=""),"",MAX(1,D427-C427))</f>
        <v/>
      </c>
      <c r="F427" s="32"/>
      <c r="G427" s="36" t="str">
        <f aca="false">IF(B427="","",IFERROR(IF(N(INDEX(Fleet!$N$5:$N$79,MATCH(B427,Fleet!$A$5:$A$79,0)))&gt;0,INDEX(Fleet!$N$5:$N$79,MATCH(B427,Fleet!$A$5:$A$79,0)),Assumptions!$B$7),Assumptions!$B$7))</f>
        <v/>
      </c>
      <c r="H427" s="34" t="str">
        <f aca="false">IF(OR(F427="",G427=""),"",F427*G427)</f>
        <v/>
      </c>
      <c r="I427" s="32"/>
      <c r="J427" s="32"/>
      <c r="K427" s="37"/>
      <c r="L427" s="38" t="str">
        <f aca="false">IF(C427="","",DATE(YEAR(C427),MONTH(C427),1))</f>
        <v/>
      </c>
      <c r="M427" s="34" t="str">
        <f aca="false">IF(F427="","",N(H427)+N(I427)-N(J427))</f>
        <v/>
      </c>
      <c r="N427" s="29"/>
    </row>
    <row r="428" customFormat="false" ht="15" hidden="false" customHeight="false" outlineLevel="0" collapsed="false">
      <c r="A428" s="29"/>
      <c r="B428" s="29"/>
      <c r="C428" s="31"/>
      <c r="D428" s="31"/>
      <c r="E428" s="35" t="str">
        <f aca="false">IF(OR(C428="",D428=""),"",MAX(1,D428-C428))</f>
        <v/>
      </c>
      <c r="F428" s="32"/>
      <c r="G428" s="36" t="str">
        <f aca="false">IF(B428="","",IFERROR(IF(N(INDEX(Fleet!$N$5:$N$79,MATCH(B428,Fleet!$A$5:$A$79,0)))&gt;0,INDEX(Fleet!$N$5:$N$79,MATCH(B428,Fleet!$A$5:$A$79,0)),Assumptions!$B$7),Assumptions!$B$7))</f>
        <v/>
      </c>
      <c r="H428" s="34" t="str">
        <f aca="false">IF(OR(F428="",G428=""),"",F428*G428)</f>
        <v/>
      </c>
      <c r="I428" s="32"/>
      <c r="J428" s="32"/>
      <c r="K428" s="37"/>
      <c r="L428" s="38" t="str">
        <f aca="false">IF(C428="","",DATE(YEAR(C428),MONTH(C428),1))</f>
        <v/>
      </c>
      <c r="M428" s="34" t="str">
        <f aca="false">IF(F428="","",N(H428)+N(I428)-N(J428))</f>
        <v/>
      </c>
      <c r="N428" s="29"/>
    </row>
    <row r="429" customFormat="false" ht="15" hidden="false" customHeight="false" outlineLevel="0" collapsed="false">
      <c r="A429" s="29"/>
      <c r="B429" s="29"/>
      <c r="C429" s="31"/>
      <c r="D429" s="31"/>
      <c r="E429" s="35" t="str">
        <f aca="false">IF(OR(C429="",D429=""),"",MAX(1,D429-C429))</f>
        <v/>
      </c>
      <c r="F429" s="32"/>
      <c r="G429" s="36" t="str">
        <f aca="false">IF(B429="","",IFERROR(IF(N(INDEX(Fleet!$N$5:$N$79,MATCH(B429,Fleet!$A$5:$A$79,0)))&gt;0,INDEX(Fleet!$N$5:$N$79,MATCH(B429,Fleet!$A$5:$A$79,0)),Assumptions!$B$7),Assumptions!$B$7))</f>
        <v/>
      </c>
      <c r="H429" s="34" t="str">
        <f aca="false">IF(OR(F429="",G429=""),"",F429*G429)</f>
        <v/>
      </c>
      <c r="I429" s="32"/>
      <c r="J429" s="32"/>
      <c r="K429" s="37"/>
      <c r="L429" s="38" t="str">
        <f aca="false">IF(C429="","",DATE(YEAR(C429),MONTH(C429),1))</f>
        <v/>
      </c>
      <c r="M429" s="34" t="str">
        <f aca="false">IF(F429="","",N(H429)+N(I429)-N(J429))</f>
        <v/>
      </c>
      <c r="N429" s="29"/>
    </row>
    <row r="430" customFormat="false" ht="15" hidden="false" customHeight="false" outlineLevel="0" collapsed="false">
      <c r="A430" s="29"/>
      <c r="B430" s="29"/>
      <c r="C430" s="31"/>
      <c r="D430" s="31"/>
      <c r="E430" s="35" t="str">
        <f aca="false">IF(OR(C430="",D430=""),"",MAX(1,D430-C430))</f>
        <v/>
      </c>
      <c r="F430" s="32"/>
      <c r="G430" s="36" t="str">
        <f aca="false">IF(B430="","",IFERROR(IF(N(INDEX(Fleet!$N$5:$N$79,MATCH(B430,Fleet!$A$5:$A$79,0)))&gt;0,INDEX(Fleet!$N$5:$N$79,MATCH(B430,Fleet!$A$5:$A$79,0)),Assumptions!$B$7),Assumptions!$B$7))</f>
        <v/>
      </c>
      <c r="H430" s="34" t="str">
        <f aca="false">IF(OR(F430="",G430=""),"",F430*G430)</f>
        <v/>
      </c>
      <c r="I430" s="32"/>
      <c r="J430" s="32"/>
      <c r="K430" s="37"/>
      <c r="L430" s="38" t="str">
        <f aca="false">IF(C430="","",DATE(YEAR(C430),MONTH(C430),1))</f>
        <v/>
      </c>
      <c r="M430" s="34" t="str">
        <f aca="false">IF(F430="","",N(H430)+N(I430)-N(J430))</f>
        <v/>
      </c>
      <c r="N430" s="29"/>
    </row>
    <row r="431" customFormat="false" ht="15" hidden="false" customHeight="false" outlineLevel="0" collapsed="false">
      <c r="A431" s="29"/>
      <c r="B431" s="29"/>
      <c r="C431" s="31"/>
      <c r="D431" s="31"/>
      <c r="E431" s="35" t="str">
        <f aca="false">IF(OR(C431="",D431=""),"",MAX(1,D431-C431))</f>
        <v/>
      </c>
      <c r="F431" s="32"/>
      <c r="G431" s="36" t="str">
        <f aca="false">IF(B431="","",IFERROR(IF(N(INDEX(Fleet!$N$5:$N$79,MATCH(B431,Fleet!$A$5:$A$79,0)))&gt;0,INDEX(Fleet!$N$5:$N$79,MATCH(B431,Fleet!$A$5:$A$79,0)),Assumptions!$B$7),Assumptions!$B$7))</f>
        <v/>
      </c>
      <c r="H431" s="34" t="str">
        <f aca="false">IF(OR(F431="",G431=""),"",F431*G431)</f>
        <v/>
      </c>
      <c r="I431" s="32"/>
      <c r="J431" s="32"/>
      <c r="K431" s="37"/>
      <c r="L431" s="38" t="str">
        <f aca="false">IF(C431="","",DATE(YEAR(C431),MONTH(C431),1))</f>
        <v/>
      </c>
      <c r="M431" s="34" t="str">
        <f aca="false">IF(F431="","",N(H431)+N(I431)-N(J431))</f>
        <v/>
      </c>
      <c r="N431" s="29"/>
    </row>
    <row r="432" customFormat="false" ht="15" hidden="false" customHeight="false" outlineLevel="0" collapsed="false">
      <c r="A432" s="29"/>
      <c r="B432" s="29"/>
      <c r="C432" s="31"/>
      <c r="D432" s="31"/>
      <c r="E432" s="35" t="str">
        <f aca="false">IF(OR(C432="",D432=""),"",MAX(1,D432-C432))</f>
        <v/>
      </c>
      <c r="F432" s="32"/>
      <c r="G432" s="36" t="str">
        <f aca="false">IF(B432="","",IFERROR(IF(N(INDEX(Fleet!$N$5:$N$79,MATCH(B432,Fleet!$A$5:$A$79,0)))&gt;0,INDEX(Fleet!$N$5:$N$79,MATCH(B432,Fleet!$A$5:$A$79,0)),Assumptions!$B$7),Assumptions!$B$7))</f>
        <v/>
      </c>
      <c r="H432" s="34" t="str">
        <f aca="false">IF(OR(F432="",G432=""),"",F432*G432)</f>
        <v/>
      </c>
      <c r="I432" s="32"/>
      <c r="J432" s="32"/>
      <c r="K432" s="37"/>
      <c r="L432" s="38" t="str">
        <f aca="false">IF(C432="","",DATE(YEAR(C432),MONTH(C432),1))</f>
        <v/>
      </c>
      <c r="M432" s="34" t="str">
        <f aca="false">IF(F432="","",N(H432)+N(I432)-N(J432))</f>
        <v/>
      </c>
      <c r="N432" s="29"/>
    </row>
    <row r="433" customFormat="false" ht="15" hidden="false" customHeight="false" outlineLevel="0" collapsed="false">
      <c r="A433" s="29"/>
      <c r="B433" s="29"/>
      <c r="C433" s="31"/>
      <c r="D433" s="31"/>
      <c r="E433" s="35" t="str">
        <f aca="false">IF(OR(C433="",D433=""),"",MAX(1,D433-C433))</f>
        <v/>
      </c>
      <c r="F433" s="32"/>
      <c r="G433" s="36" t="str">
        <f aca="false">IF(B433="","",IFERROR(IF(N(INDEX(Fleet!$N$5:$N$79,MATCH(B433,Fleet!$A$5:$A$79,0)))&gt;0,INDEX(Fleet!$N$5:$N$79,MATCH(B433,Fleet!$A$5:$A$79,0)),Assumptions!$B$7),Assumptions!$B$7))</f>
        <v/>
      </c>
      <c r="H433" s="34" t="str">
        <f aca="false">IF(OR(F433="",G433=""),"",F433*G433)</f>
        <v/>
      </c>
      <c r="I433" s="32"/>
      <c r="J433" s="32"/>
      <c r="K433" s="37"/>
      <c r="L433" s="38" t="str">
        <f aca="false">IF(C433="","",DATE(YEAR(C433),MONTH(C433),1))</f>
        <v/>
      </c>
      <c r="M433" s="34" t="str">
        <f aca="false">IF(F433="","",N(H433)+N(I433)-N(J433))</f>
        <v/>
      </c>
      <c r="N433" s="29"/>
    </row>
    <row r="434" customFormat="false" ht="15" hidden="false" customHeight="false" outlineLevel="0" collapsed="false">
      <c r="A434" s="29"/>
      <c r="B434" s="29"/>
      <c r="C434" s="31"/>
      <c r="D434" s="31"/>
      <c r="E434" s="35" t="str">
        <f aca="false">IF(OR(C434="",D434=""),"",MAX(1,D434-C434))</f>
        <v/>
      </c>
      <c r="F434" s="32"/>
      <c r="G434" s="36" t="str">
        <f aca="false">IF(B434="","",IFERROR(IF(N(INDEX(Fleet!$N$5:$N$79,MATCH(B434,Fleet!$A$5:$A$79,0)))&gt;0,INDEX(Fleet!$N$5:$N$79,MATCH(B434,Fleet!$A$5:$A$79,0)),Assumptions!$B$7),Assumptions!$B$7))</f>
        <v/>
      </c>
      <c r="H434" s="34" t="str">
        <f aca="false">IF(OR(F434="",G434=""),"",F434*G434)</f>
        <v/>
      </c>
      <c r="I434" s="32"/>
      <c r="J434" s="32"/>
      <c r="K434" s="37"/>
      <c r="L434" s="38" t="str">
        <f aca="false">IF(C434="","",DATE(YEAR(C434),MONTH(C434),1))</f>
        <v/>
      </c>
      <c r="M434" s="34" t="str">
        <f aca="false">IF(F434="","",N(H434)+N(I434)-N(J434))</f>
        <v/>
      </c>
      <c r="N434" s="29"/>
    </row>
    <row r="435" customFormat="false" ht="15" hidden="false" customHeight="false" outlineLevel="0" collapsed="false">
      <c r="A435" s="29"/>
      <c r="B435" s="29"/>
      <c r="C435" s="31"/>
      <c r="D435" s="31"/>
      <c r="E435" s="35" t="str">
        <f aca="false">IF(OR(C435="",D435=""),"",MAX(1,D435-C435))</f>
        <v/>
      </c>
      <c r="F435" s="32"/>
      <c r="G435" s="36" t="str">
        <f aca="false">IF(B435="","",IFERROR(IF(N(INDEX(Fleet!$N$5:$N$79,MATCH(B435,Fleet!$A$5:$A$79,0)))&gt;0,INDEX(Fleet!$N$5:$N$79,MATCH(B435,Fleet!$A$5:$A$79,0)),Assumptions!$B$7),Assumptions!$B$7))</f>
        <v/>
      </c>
      <c r="H435" s="34" t="str">
        <f aca="false">IF(OR(F435="",G435=""),"",F435*G435)</f>
        <v/>
      </c>
      <c r="I435" s="32"/>
      <c r="J435" s="32"/>
      <c r="K435" s="37"/>
      <c r="L435" s="38" t="str">
        <f aca="false">IF(C435="","",DATE(YEAR(C435),MONTH(C435),1))</f>
        <v/>
      </c>
      <c r="M435" s="34" t="str">
        <f aca="false">IF(F435="","",N(H435)+N(I435)-N(J435))</f>
        <v/>
      </c>
      <c r="N435" s="29"/>
    </row>
    <row r="436" customFormat="false" ht="15" hidden="false" customHeight="false" outlineLevel="0" collapsed="false">
      <c r="A436" s="29"/>
      <c r="B436" s="29"/>
      <c r="C436" s="31"/>
      <c r="D436" s="31"/>
      <c r="E436" s="35" t="str">
        <f aca="false">IF(OR(C436="",D436=""),"",MAX(1,D436-C436))</f>
        <v/>
      </c>
      <c r="F436" s="32"/>
      <c r="G436" s="36" t="str">
        <f aca="false">IF(B436="","",IFERROR(IF(N(INDEX(Fleet!$N$5:$N$79,MATCH(B436,Fleet!$A$5:$A$79,0)))&gt;0,INDEX(Fleet!$N$5:$N$79,MATCH(B436,Fleet!$A$5:$A$79,0)),Assumptions!$B$7),Assumptions!$B$7))</f>
        <v/>
      </c>
      <c r="H436" s="34" t="str">
        <f aca="false">IF(OR(F436="",G436=""),"",F436*G436)</f>
        <v/>
      </c>
      <c r="I436" s="32"/>
      <c r="J436" s="32"/>
      <c r="K436" s="37"/>
      <c r="L436" s="38" t="str">
        <f aca="false">IF(C436="","",DATE(YEAR(C436),MONTH(C436),1))</f>
        <v/>
      </c>
      <c r="M436" s="34" t="str">
        <f aca="false">IF(F436="","",N(H436)+N(I436)-N(J436))</f>
        <v/>
      </c>
      <c r="N436" s="29"/>
    </row>
    <row r="437" customFormat="false" ht="15" hidden="false" customHeight="false" outlineLevel="0" collapsed="false">
      <c r="A437" s="29"/>
      <c r="B437" s="29"/>
      <c r="C437" s="31"/>
      <c r="D437" s="31"/>
      <c r="E437" s="35" t="str">
        <f aca="false">IF(OR(C437="",D437=""),"",MAX(1,D437-C437))</f>
        <v/>
      </c>
      <c r="F437" s="32"/>
      <c r="G437" s="36" t="str">
        <f aca="false">IF(B437="","",IFERROR(IF(N(INDEX(Fleet!$N$5:$N$79,MATCH(B437,Fleet!$A$5:$A$79,0)))&gt;0,INDEX(Fleet!$N$5:$N$79,MATCH(B437,Fleet!$A$5:$A$79,0)),Assumptions!$B$7),Assumptions!$B$7))</f>
        <v/>
      </c>
      <c r="H437" s="34" t="str">
        <f aca="false">IF(OR(F437="",G437=""),"",F437*G437)</f>
        <v/>
      </c>
      <c r="I437" s="32"/>
      <c r="J437" s="32"/>
      <c r="K437" s="37"/>
      <c r="L437" s="38" t="str">
        <f aca="false">IF(C437="","",DATE(YEAR(C437),MONTH(C437),1))</f>
        <v/>
      </c>
      <c r="M437" s="34" t="str">
        <f aca="false">IF(F437="","",N(H437)+N(I437)-N(J437))</f>
        <v/>
      </c>
      <c r="N437" s="29"/>
    </row>
    <row r="438" customFormat="false" ht="15" hidden="false" customHeight="false" outlineLevel="0" collapsed="false">
      <c r="A438" s="29"/>
      <c r="B438" s="29"/>
      <c r="C438" s="31"/>
      <c r="D438" s="31"/>
      <c r="E438" s="35" t="str">
        <f aca="false">IF(OR(C438="",D438=""),"",MAX(1,D438-C438))</f>
        <v/>
      </c>
      <c r="F438" s="32"/>
      <c r="G438" s="36" t="str">
        <f aca="false">IF(B438="","",IFERROR(IF(N(INDEX(Fleet!$N$5:$N$79,MATCH(B438,Fleet!$A$5:$A$79,0)))&gt;0,INDEX(Fleet!$N$5:$N$79,MATCH(B438,Fleet!$A$5:$A$79,0)),Assumptions!$B$7),Assumptions!$B$7))</f>
        <v/>
      </c>
      <c r="H438" s="34" t="str">
        <f aca="false">IF(OR(F438="",G438=""),"",F438*G438)</f>
        <v/>
      </c>
      <c r="I438" s="32"/>
      <c r="J438" s="32"/>
      <c r="K438" s="37"/>
      <c r="L438" s="38" t="str">
        <f aca="false">IF(C438="","",DATE(YEAR(C438),MONTH(C438),1))</f>
        <v/>
      </c>
      <c r="M438" s="34" t="str">
        <f aca="false">IF(F438="","",N(H438)+N(I438)-N(J438))</f>
        <v/>
      </c>
      <c r="N438" s="29"/>
    </row>
    <row r="439" customFormat="false" ht="15" hidden="false" customHeight="false" outlineLevel="0" collapsed="false">
      <c r="A439" s="29"/>
      <c r="B439" s="29"/>
      <c r="C439" s="31"/>
      <c r="D439" s="31"/>
      <c r="E439" s="35" t="str">
        <f aca="false">IF(OR(C439="",D439=""),"",MAX(1,D439-C439))</f>
        <v/>
      </c>
      <c r="F439" s="32"/>
      <c r="G439" s="36" t="str">
        <f aca="false">IF(B439="","",IFERROR(IF(N(INDEX(Fleet!$N$5:$N$79,MATCH(B439,Fleet!$A$5:$A$79,0)))&gt;0,INDEX(Fleet!$N$5:$N$79,MATCH(B439,Fleet!$A$5:$A$79,0)),Assumptions!$B$7),Assumptions!$B$7))</f>
        <v/>
      </c>
      <c r="H439" s="34" t="str">
        <f aca="false">IF(OR(F439="",G439=""),"",F439*G439)</f>
        <v/>
      </c>
      <c r="I439" s="32"/>
      <c r="J439" s="32"/>
      <c r="K439" s="37"/>
      <c r="L439" s="38" t="str">
        <f aca="false">IF(C439="","",DATE(YEAR(C439),MONTH(C439),1))</f>
        <v/>
      </c>
      <c r="M439" s="34" t="str">
        <f aca="false">IF(F439="","",N(H439)+N(I439)-N(J439))</f>
        <v/>
      </c>
      <c r="N439" s="29"/>
    </row>
    <row r="440" customFormat="false" ht="15" hidden="false" customHeight="false" outlineLevel="0" collapsed="false">
      <c r="A440" s="29"/>
      <c r="B440" s="29"/>
      <c r="C440" s="31"/>
      <c r="D440" s="31"/>
      <c r="E440" s="35" t="str">
        <f aca="false">IF(OR(C440="",D440=""),"",MAX(1,D440-C440))</f>
        <v/>
      </c>
      <c r="F440" s="32"/>
      <c r="G440" s="36" t="str">
        <f aca="false">IF(B440="","",IFERROR(IF(N(INDEX(Fleet!$N$5:$N$79,MATCH(B440,Fleet!$A$5:$A$79,0)))&gt;0,INDEX(Fleet!$N$5:$N$79,MATCH(B440,Fleet!$A$5:$A$79,0)),Assumptions!$B$7),Assumptions!$B$7))</f>
        <v/>
      </c>
      <c r="H440" s="34" t="str">
        <f aca="false">IF(OR(F440="",G440=""),"",F440*G440)</f>
        <v/>
      </c>
      <c r="I440" s="32"/>
      <c r="J440" s="32"/>
      <c r="K440" s="37"/>
      <c r="L440" s="38" t="str">
        <f aca="false">IF(C440="","",DATE(YEAR(C440),MONTH(C440),1))</f>
        <v/>
      </c>
      <c r="M440" s="34" t="str">
        <f aca="false">IF(F440="","",N(H440)+N(I440)-N(J440))</f>
        <v/>
      </c>
      <c r="N440" s="29"/>
    </row>
    <row r="441" customFormat="false" ht="15" hidden="false" customHeight="false" outlineLevel="0" collapsed="false">
      <c r="A441" s="29"/>
      <c r="B441" s="29"/>
      <c r="C441" s="31"/>
      <c r="D441" s="31"/>
      <c r="E441" s="35" t="str">
        <f aca="false">IF(OR(C441="",D441=""),"",MAX(1,D441-C441))</f>
        <v/>
      </c>
      <c r="F441" s="32"/>
      <c r="G441" s="36" t="str">
        <f aca="false">IF(B441="","",IFERROR(IF(N(INDEX(Fleet!$N$5:$N$79,MATCH(B441,Fleet!$A$5:$A$79,0)))&gt;0,INDEX(Fleet!$N$5:$N$79,MATCH(B441,Fleet!$A$5:$A$79,0)),Assumptions!$B$7),Assumptions!$B$7))</f>
        <v/>
      </c>
      <c r="H441" s="34" t="str">
        <f aca="false">IF(OR(F441="",G441=""),"",F441*G441)</f>
        <v/>
      </c>
      <c r="I441" s="32"/>
      <c r="J441" s="32"/>
      <c r="K441" s="37"/>
      <c r="L441" s="38" t="str">
        <f aca="false">IF(C441="","",DATE(YEAR(C441),MONTH(C441),1))</f>
        <v/>
      </c>
      <c r="M441" s="34" t="str">
        <f aca="false">IF(F441="","",N(H441)+N(I441)-N(J441))</f>
        <v/>
      </c>
      <c r="N441" s="29"/>
    </row>
    <row r="442" customFormat="false" ht="15" hidden="false" customHeight="false" outlineLevel="0" collapsed="false">
      <c r="A442" s="29"/>
      <c r="B442" s="29"/>
      <c r="C442" s="31"/>
      <c r="D442" s="31"/>
      <c r="E442" s="35" t="str">
        <f aca="false">IF(OR(C442="",D442=""),"",MAX(1,D442-C442))</f>
        <v/>
      </c>
      <c r="F442" s="32"/>
      <c r="G442" s="36" t="str">
        <f aca="false">IF(B442="","",IFERROR(IF(N(INDEX(Fleet!$N$5:$N$79,MATCH(B442,Fleet!$A$5:$A$79,0)))&gt;0,INDEX(Fleet!$N$5:$N$79,MATCH(B442,Fleet!$A$5:$A$79,0)),Assumptions!$B$7),Assumptions!$B$7))</f>
        <v/>
      </c>
      <c r="H442" s="34" t="str">
        <f aca="false">IF(OR(F442="",G442=""),"",F442*G442)</f>
        <v/>
      </c>
      <c r="I442" s="32"/>
      <c r="J442" s="32"/>
      <c r="K442" s="37"/>
      <c r="L442" s="38" t="str">
        <f aca="false">IF(C442="","",DATE(YEAR(C442),MONTH(C442),1))</f>
        <v/>
      </c>
      <c r="M442" s="34" t="str">
        <f aca="false">IF(F442="","",N(H442)+N(I442)-N(J442))</f>
        <v/>
      </c>
      <c r="N442" s="29"/>
    </row>
    <row r="443" customFormat="false" ht="15" hidden="false" customHeight="false" outlineLevel="0" collapsed="false">
      <c r="A443" s="29"/>
      <c r="B443" s="29"/>
      <c r="C443" s="31"/>
      <c r="D443" s="31"/>
      <c r="E443" s="35" t="str">
        <f aca="false">IF(OR(C443="",D443=""),"",MAX(1,D443-C443))</f>
        <v/>
      </c>
      <c r="F443" s="32"/>
      <c r="G443" s="36" t="str">
        <f aca="false">IF(B443="","",IFERROR(IF(N(INDEX(Fleet!$N$5:$N$79,MATCH(B443,Fleet!$A$5:$A$79,0)))&gt;0,INDEX(Fleet!$N$5:$N$79,MATCH(B443,Fleet!$A$5:$A$79,0)),Assumptions!$B$7),Assumptions!$B$7))</f>
        <v/>
      </c>
      <c r="H443" s="34" t="str">
        <f aca="false">IF(OR(F443="",G443=""),"",F443*G443)</f>
        <v/>
      </c>
      <c r="I443" s="32"/>
      <c r="J443" s="32"/>
      <c r="K443" s="37"/>
      <c r="L443" s="38" t="str">
        <f aca="false">IF(C443="","",DATE(YEAR(C443),MONTH(C443),1))</f>
        <v/>
      </c>
      <c r="M443" s="34" t="str">
        <f aca="false">IF(F443="","",N(H443)+N(I443)-N(J443))</f>
        <v/>
      </c>
      <c r="N443" s="29"/>
    </row>
    <row r="444" customFormat="false" ht="15" hidden="false" customHeight="false" outlineLevel="0" collapsed="false">
      <c r="A444" s="29"/>
      <c r="B444" s="29"/>
      <c r="C444" s="31"/>
      <c r="D444" s="31"/>
      <c r="E444" s="35" t="str">
        <f aca="false">IF(OR(C444="",D444=""),"",MAX(1,D444-C444))</f>
        <v/>
      </c>
      <c r="F444" s="32"/>
      <c r="G444" s="36" t="str">
        <f aca="false">IF(B444="","",IFERROR(IF(N(INDEX(Fleet!$N$5:$N$79,MATCH(B444,Fleet!$A$5:$A$79,0)))&gt;0,INDEX(Fleet!$N$5:$N$79,MATCH(B444,Fleet!$A$5:$A$79,0)),Assumptions!$B$7),Assumptions!$B$7))</f>
        <v/>
      </c>
      <c r="H444" s="34" t="str">
        <f aca="false">IF(OR(F444="",G444=""),"",F444*G444)</f>
        <v/>
      </c>
      <c r="I444" s="32"/>
      <c r="J444" s="32"/>
      <c r="K444" s="37"/>
      <c r="L444" s="38" t="str">
        <f aca="false">IF(C444="","",DATE(YEAR(C444),MONTH(C444),1))</f>
        <v/>
      </c>
      <c r="M444" s="34" t="str">
        <f aca="false">IF(F444="","",N(H444)+N(I444)-N(J444))</f>
        <v/>
      </c>
      <c r="N444" s="29"/>
    </row>
    <row r="445" customFormat="false" ht="15" hidden="false" customHeight="false" outlineLevel="0" collapsed="false">
      <c r="A445" s="29"/>
      <c r="B445" s="29"/>
      <c r="C445" s="31"/>
      <c r="D445" s="31"/>
      <c r="E445" s="35" t="str">
        <f aca="false">IF(OR(C445="",D445=""),"",MAX(1,D445-C445))</f>
        <v/>
      </c>
      <c r="F445" s="32"/>
      <c r="G445" s="36" t="str">
        <f aca="false">IF(B445="","",IFERROR(IF(N(INDEX(Fleet!$N$5:$N$79,MATCH(B445,Fleet!$A$5:$A$79,0)))&gt;0,INDEX(Fleet!$N$5:$N$79,MATCH(B445,Fleet!$A$5:$A$79,0)),Assumptions!$B$7),Assumptions!$B$7))</f>
        <v/>
      </c>
      <c r="H445" s="34" t="str">
        <f aca="false">IF(OR(F445="",G445=""),"",F445*G445)</f>
        <v/>
      </c>
      <c r="I445" s="32"/>
      <c r="J445" s="32"/>
      <c r="K445" s="37"/>
      <c r="L445" s="38" t="str">
        <f aca="false">IF(C445="","",DATE(YEAR(C445),MONTH(C445),1))</f>
        <v/>
      </c>
      <c r="M445" s="34" t="str">
        <f aca="false">IF(F445="","",N(H445)+N(I445)-N(J445))</f>
        <v/>
      </c>
      <c r="N445" s="29"/>
    </row>
    <row r="446" customFormat="false" ht="15" hidden="false" customHeight="false" outlineLevel="0" collapsed="false">
      <c r="A446" s="29"/>
      <c r="B446" s="29"/>
      <c r="C446" s="31"/>
      <c r="D446" s="31"/>
      <c r="E446" s="35" t="str">
        <f aca="false">IF(OR(C446="",D446=""),"",MAX(1,D446-C446))</f>
        <v/>
      </c>
      <c r="F446" s="32"/>
      <c r="G446" s="36" t="str">
        <f aca="false">IF(B446="","",IFERROR(IF(N(INDEX(Fleet!$N$5:$N$79,MATCH(B446,Fleet!$A$5:$A$79,0)))&gt;0,INDEX(Fleet!$N$5:$N$79,MATCH(B446,Fleet!$A$5:$A$79,0)),Assumptions!$B$7),Assumptions!$B$7))</f>
        <v/>
      </c>
      <c r="H446" s="34" t="str">
        <f aca="false">IF(OR(F446="",G446=""),"",F446*G446)</f>
        <v/>
      </c>
      <c r="I446" s="32"/>
      <c r="J446" s="32"/>
      <c r="K446" s="37"/>
      <c r="L446" s="38" t="str">
        <f aca="false">IF(C446="","",DATE(YEAR(C446),MONTH(C446),1))</f>
        <v/>
      </c>
      <c r="M446" s="34" t="str">
        <f aca="false">IF(F446="","",N(H446)+N(I446)-N(J446))</f>
        <v/>
      </c>
      <c r="N446" s="29"/>
    </row>
    <row r="447" customFormat="false" ht="15" hidden="false" customHeight="false" outlineLevel="0" collapsed="false">
      <c r="A447" s="29"/>
      <c r="B447" s="29"/>
      <c r="C447" s="31"/>
      <c r="D447" s="31"/>
      <c r="E447" s="35" t="str">
        <f aca="false">IF(OR(C447="",D447=""),"",MAX(1,D447-C447))</f>
        <v/>
      </c>
      <c r="F447" s="32"/>
      <c r="G447" s="36" t="str">
        <f aca="false">IF(B447="","",IFERROR(IF(N(INDEX(Fleet!$N$5:$N$79,MATCH(B447,Fleet!$A$5:$A$79,0)))&gt;0,INDEX(Fleet!$N$5:$N$79,MATCH(B447,Fleet!$A$5:$A$79,0)),Assumptions!$B$7),Assumptions!$B$7))</f>
        <v/>
      </c>
      <c r="H447" s="34" t="str">
        <f aca="false">IF(OR(F447="",G447=""),"",F447*G447)</f>
        <v/>
      </c>
      <c r="I447" s="32"/>
      <c r="J447" s="32"/>
      <c r="K447" s="37"/>
      <c r="L447" s="38" t="str">
        <f aca="false">IF(C447="","",DATE(YEAR(C447),MONTH(C447),1))</f>
        <v/>
      </c>
      <c r="M447" s="34" t="str">
        <f aca="false">IF(F447="","",N(H447)+N(I447)-N(J447))</f>
        <v/>
      </c>
      <c r="N447" s="29"/>
    </row>
    <row r="448" customFormat="false" ht="15" hidden="false" customHeight="false" outlineLevel="0" collapsed="false">
      <c r="A448" s="29"/>
      <c r="B448" s="29"/>
      <c r="C448" s="31"/>
      <c r="D448" s="31"/>
      <c r="E448" s="35" t="str">
        <f aca="false">IF(OR(C448="",D448=""),"",MAX(1,D448-C448))</f>
        <v/>
      </c>
      <c r="F448" s="32"/>
      <c r="G448" s="36" t="str">
        <f aca="false">IF(B448="","",IFERROR(IF(N(INDEX(Fleet!$N$5:$N$79,MATCH(B448,Fleet!$A$5:$A$79,0)))&gt;0,INDEX(Fleet!$N$5:$N$79,MATCH(B448,Fleet!$A$5:$A$79,0)),Assumptions!$B$7),Assumptions!$B$7))</f>
        <v/>
      </c>
      <c r="H448" s="34" t="str">
        <f aca="false">IF(OR(F448="",G448=""),"",F448*G448)</f>
        <v/>
      </c>
      <c r="I448" s="32"/>
      <c r="J448" s="32"/>
      <c r="K448" s="37"/>
      <c r="L448" s="38" t="str">
        <f aca="false">IF(C448="","",DATE(YEAR(C448),MONTH(C448),1))</f>
        <v/>
      </c>
      <c r="M448" s="34" t="str">
        <f aca="false">IF(F448="","",N(H448)+N(I448)-N(J448))</f>
        <v/>
      </c>
      <c r="N448" s="29"/>
    </row>
    <row r="449" customFormat="false" ht="15" hidden="false" customHeight="false" outlineLevel="0" collapsed="false">
      <c r="A449" s="29"/>
      <c r="B449" s="29"/>
      <c r="C449" s="31"/>
      <c r="D449" s="31"/>
      <c r="E449" s="35" t="str">
        <f aca="false">IF(OR(C449="",D449=""),"",MAX(1,D449-C449))</f>
        <v/>
      </c>
      <c r="F449" s="32"/>
      <c r="G449" s="36" t="str">
        <f aca="false">IF(B449="","",IFERROR(IF(N(INDEX(Fleet!$N$5:$N$79,MATCH(B449,Fleet!$A$5:$A$79,0)))&gt;0,INDEX(Fleet!$N$5:$N$79,MATCH(B449,Fleet!$A$5:$A$79,0)),Assumptions!$B$7),Assumptions!$B$7))</f>
        <v/>
      </c>
      <c r="H449" s="34" t="str">
        <f aca="false">IF(OR(F449="",G449=""),"",F449*G449)</f>
        <v/>
      </c>
      <c r="I449" s="32"/>
      <c r="J449" s="32"/>
      <c r="K449" s="37"/>
      <c r="L449" s="38" t="str">
        <f aca="false">IF(C449="","",DATE(YEAR(C449),MONTH(C449),1))</f>
        <v/>
      </c>
      <c r="M449" s="34" t="str">
        <f aca="false">IF(F449="","",N(H449)+N(I449)-N(J449))</f>
        <v/>
      </c>
      <c r="N449" s="29"/>
    </row>
    <row r="450" customFormat="false" ht="15" hidden="false" customHeight="false" outlineLevel="0" collapsed="false">
      <c r="A450" s="29"/>
      <c r="B450" s="29"/>
      <c r="C450" s="31"/>
      <c r="D450" s="31"/>
      <c r="E450" s="35" t="str">
        <f aca="false">IF(OR(C450="",D450=""),"",MAX(1,D450-C450))</f>
        <v/>
      </c>
      <c r="F450" s="32"/>
      <c r="G450" s="36" t="str">
        <f aca="false">IF(B450="","",IFERROR(IF(N(INDEX(Fleet!$N$5:$N$79,MATCH(B450,Fleet!$A$5:$A$79,0)))&gt;0,INDEX(Fleet!$N$5:$N$79,MATCH(B450,Fleet!$A$5:$A$79,0)),Assumptions!$B$7),Assumptions!$B$7))</f>
        <v/>
      </c>
      <c r="H450" s="34" t="str">
        <f aca="false">IF(OR(F450="",G450=""),"",F450*G450)</f>
        <v/>
      </c>
      <c r="I450" s="32"/>
      <c r="J450" s="32"/>
      <c r="K450" s="37"/>
      <c r="L450" s="38" t="str">
        <f aca="false">IF(C450="","",DATE(YEAR(C450),MONTH(C450),1))</f>
        <v/>
      </c>
      <c r="M450" s="34" t="str">
        <f aca="false">IF(F450="","",N(H450)+N(I450)-N(J450))</f>
        <v/>
      </c>
      <c r="N450" s="29"/>
    </row>
    <row r="451" customFormat="false" ht="15" hidden="false" customHeight="false" outlineLevel="0" collapsed="false">
      <c r="A451" s="29"/>
      <c r="B451" s="29"/>
      <c r="C451" s="31"/>
      <c r="D451" s="31"/>
      <c r="E451" s="35" t="str">
        <f aca="false">IF(OR(C451="",D451=""),"",MAX(1,D451-C451))</f>
        <v/>
      </c>
      <c r="F451" s="32"/>
      <c r="G451" s="36" t="str">
        <f aca="false">IF(B451="","",IFERROR(IF(N(INDEX(Fleet!$N$5:$N$79,MATCH(B451,Fleet!$A$5:$A$79,0)))&gt;0,INDEX(Fleet!$N$5:$N$79,MATCH(B451,Fleet!$A$5:$A$79,0)),Assumptions!$B$7),Assumptions!$B$7))</f>
        <v/>
      </c>
      <c r="H451" s="34" t="str">
        <f aca="false">IF(OR(F451="",G451=""),"",F451*G451)</f>
        <v/>
      </c>
      <c r="I451" s="32"/>
      <c r="J451" s="32"/>
      <c r="K451" s="37"/>
      <c r="L451" s="38" t="str">
        <f aca="false">IF(C451="","",DATE(YEAR(C451),MONTH(C451),1))</f>
        <v/>
      </c>
      <c r="M451" s="34" t="str">
        <f aca="false">IF(F451="","",N(H451)+N(I451)-N(J451))</f>
        <v/>
      </c>
      <c r="N451" s="29"/>
    </row>
    <row r="452" customFormat="false" ht="15" hidden="false" customHeight="false" outlineLevel="0" collapsed="false">
      <c r="A452" s="29"/>
      <c r="B452" s="29"/>
      <c r="C452" s="31"/>
      <c r="D452" s="31"/>
      <c r="E452" s="35" t="str">
        <f aca="false">IF(OR(C452="",D452=""),"",MAX(1,D452-C452))</f>
        <v/>
      </c>
      <c r="F452" s="32"/>
      <c r="G452" s="36" t="str">
        <f aca="false">IF(B452="","",IFERROR(IF(N(INDEX(Fleet!$N$5:$N$79,MATCH(B452,Fleet!$A$5:$A$79,0)))&gt;0,INDEX(Fleet!$N$5:$N$79,MATCH(B452,Fleet!$A$5:$A$79,0)),Assumptions!$B$7),Assumptions!$B$7))</f>
        <v/>
      </c>
      <c r="H452" s="34" t="str">
        <f aca="false">IF(OR(F452="",G452=""),"",F452*G452)</f>
        <v/>
      </c>
      <c r="I452" s="32"/>
      <c r="J452" s="32"/>
      <c r="K452" s="37"/>
      <c r="L452" s="38" t="str">
        <f aca="false">IF(C452="","",DATE(YEAR(C452),MONTH(C452),1))</f>
        <v/>
      </c>
      <c r="M452" s="34" t="str">
        <f aca="false">IF(F452="","",N(H452)+N(I452)-N(J452))</f>
        <v/>
      </c>
      <c r="N452" s="29"/>
    </row>
    <row r="453" customFormat="false" ht="15" hidden="false" customHeight="false" outlineLevel="0" collapsed="false">
      <c r="A453" s="29"/>
      <c r="B453" s="29"/>
      <c r="C453" s="31"/>
      <c r="D453" s="31"/>
      <c r="E453" s="35" t="str">
        <f aca="false">IF(OR(C453="",D453=""),"",MAX(1,D453-C453))</f>
        <v/>
      </c>
      <c r="F453" s="32"/>
      <c r="G453" s="36" t="str">
        <f aca="false">IF(B453="","",IFERROR(IF(N(INDEX(Fleet!$N$5:$N$79,MATCH(B453,Fleet!$A$5:$A$79,0)))&gt;0,INDEX(Fleet!$N$5:$N$79,MATCH(B453,Fleet!$A$5:$A$79,0)),Assumptions!$B$7),Assumptions!$B$7))</f>
        <v/>
      </c>
      <c r="H453" s="34" t="str">
        <f aca="false">IF(OR(F453="",G453=""),"",F453*G453)</f>
        <v/>
      </c>
      <c r="I453" s="32"/>
      <c r="J453" s="32"/>
      <c r="K453" s="37"/>
      <c r="L453" s="38" t="str">
        <f aca="false">IF(C453="","",DATE(YEAR(C453),MONTH(C453),1))</f>
        <v/>
      </c>
      <c r="M453" s="34" t="str">
        <f aca="false">IF(F453="","",N(H453)+N(I453)-N(J453))</f>
        <v/>
      </c>
      <c r="N453" s="29"/>
    </row>
    <row r="454" customFormat="false" ht="15" hidden="false" customHeight="false" outlineLevel="0" collapsed="false">
      <c r="A454" s="29"/>
      <c r="B454" s="29"/>
      <c r="C454" s="31"/>
      <c r="D454" s="31"/>
      <c r="E454" s="35" t="str">
        <f aca="false">IF(OR(C454="",D454=""),"",MAX(1,D454-C454))</f>
        <v/>
      </c>
      <c r="F454" s="32"/>
      <c r="G454" s="36" t="str">
        <f aca="false">IF(B454="","",IFERROR(IF(N(INDEX(Fleet!$N$5:$N$79,MATCH(B454,Fleet!$A$5:$A$79,0)))&gt;0,INDEX(Fleet!$N$5:$N$79,MATCH(B454,Fleet!$A$5:$A$79,0)),Assumptions!$B$7),Assumptions!$B$7))</f>
        <v/>
      </c>
      <c r="H454" s="34" t="str">
        <f aca="false">IF(OR(F454="",G454=""),"",F454*G454)</f>
        <v/>
      </c>
      <c r="I454" s="32"/>
      <c r="J454" s="32"/>
      <c r="K454" s="37"/>
      <c r="L454" s="38" t="str">
        <f aca="false">IF(C454="","",DATE(YEAR(C454),MONTH(C454),1))</f>
        <v/>
      </c>
      <c r="M454" s="34" t="str">
        <f aca="false">IF(F454="","",N(H454)+N(I454)-N(J454))</f>
        <v/>
      </c>
      <c r="N454" s="29"/>
    </row>
    <row r="455" customFormat="false" ht="15" hidden="false" customHeight="false" outlineLevel="0" collapsed="false">
      <c r="A455" s="29"/>
      <c r="B455" s="29"/>
      <c r="C455" s="31"/>
      <c r="D455" s="31"/>
      <c r="E455" s="35" t="str">
        <f aca="false">IF(OR(C455="",D455=""),"",MAX(1,D455-C455))</f>
        <v/>
      </c>
      <c r="F455" s="32"/>
      <c r="G455" s="36" t="str">
        <f aca="false">IF(B455="","",IFERROR(IF(N(INDEX(Fleet!$N$5:$N$79,MATCH(B455,Fleet!$A$5:$A$79,0)))&gt;0,INDEX(Fleet!$N$5:$N$79,MATCH(B455,Fleet!$A$5:$A$79,0)),Assumptions!$B$7),Assumptions!$B$7))</f>
        <v/>
      </c>
      <c r="H455" s="34" t="str">
        <f aca="false">IF(OR(F455="",G455=""),"",F455*G455)</f>
        <v/>
      </c>
      <c r="I455" s="32"/>
      <c r="J455" s="32"/>
      <c r="K455" s="37"/>
      <c r="L455" s="38" t="str">
        <f aca="false">IF(C455="","",DATE(YEAR(C455),MONTH(C455),1))</f>
        <v/>
      </c>
      <c r="M455" s="34" t="str">
        <f aca="false">IF(F455="","",N(H455)+N(I455)-N(J455))</f>
        <v/>
      </c>
      <c r="N455" s="29"/>
    </row>
    <row r="456" customFormat="false" ht="15" hidden="false" customHeight="false" outlineLevel="0" collapsed="false">
      <c r="A456" s="29"/>
      <c r="B456" s="29"/>
      <c r="C456" s="31"/>
      <c r="D456" s="31"/>
      <c r="E456" s="35" t="str">
        <f aca="false">IF(OR(C456="",D456=""),"",MAX(1,D456-C456))</f>
        <v/>
      </c>
      <c r="F456" s="32"/>
      <c r="G456" s="36" t="str">
        <f aca="false">IF(B456="","",IFERROR(IF(N(INDEX(Fleet!$N$5:$N$79,MATCH(B456,Fleet!$A$5:$A$79,0)))&gt;0,INDEX(Fleet!$N$5:$N$79,MATCH(B456,Fleet!$A$5:$A$79,0)),Assumptions!$B$7),Assumptions!$B$7))</f>
        <v/>
      </c>
      <c r="H456" s="34" t="str">
        <f aca="false">IF(OR(F456="",G456=""),"",F456*G456)</f>
        <v/>
      </c>
      <c r="I456" s="32"/>
      <c r="J456" s="32"/>
      <c r="K456" s="37"/>
      <c r="L456" s="38" t="str">
        <f aca="false">IF(C456="","",DATE(YEAR(C456),MONTH(C456),1))</f>
        <v/>
      </c>
      <c r="M456" s="34" t="str">
        <f aca="false">IF(F456="","",N(H456)+N(I456)-N(J456))</f>
        <v/>
      </c>
      <c r="N456" s="29"/>
    </row>
    <row r="457" customFormat="false" ht="15" hidden="false" customHeight="false" outlineLevel="0" collapsed="false">
      <c r="A457" s="29"/>
      <c r="B457" s="29"/>
      <c r="C457" s="31"/>
      <c r="D457" s="31"/>
      <c r="E457" s="35" t="str">
        <f aca="false">IF(OR(C457="",D457=""),"",MAX(1,D457-C457))</f>
        <v/>
      </c>
      <c r="F457" s="32"/>
      <c r="G457" s="36" t="str">
        <f aca="false">IF(B457="","",IFERROR(IF(N(INDEX(Fleet!$N$5:$N$79,MATCH(B457,Fleet!$A$5:$A$79,0)))&gt;0,INDEX(Fleet!$N$5:$N$79,MATCH(B457,Fleet!$A$5:$A$79,0)),Assumptions!$B$7),Assumptions!$B$7))</f>
        <v/>
      </c>
      <c r="H457" s="34" t="str">
        <f aca="false">IF(OR(F457="",G457=""),"",F457*G457)</f>
        <v/>
      </c>
      <c r="I457" s="32"/>
      <c r="J457" s="32"/>
      <c r="K457" s="37"/>
      <c r="L457" s="38" t="str">
        <f aca="false">IF(C457="","",DATE(YEAR(C457),MONTH(C457),1))</f>
        <v/>
      </c>
      <c r="M457" s="34" t="str">
        <f aca="false">IF(F457="","",N(H457)+N(I457)-N(J457))</f>
        <v/>
      </c>
      <c r="N457" s="29"/>
    </row>
    <row r="458" customFormat="false" ht="15" hidden="false" customHeight="false" outlineLevel="0" collapsed="false">
      <c r="A458" s="29"/>
      <c r="B458" s="29"/>
      <c r="C458" s="31"/>
      <c r="D458" s="31"/>
      <c r="E458" s="35" t="str">
        <f aca="false">IF(OR(C458="",D458=""),"",MAX(1,D458-C458))</f>
        <v/>
      </c>
      <c r="F458" s="32"/>
      <c r="G458" s="36" t="str">
        <f aca="false">IF(B458="","",IFERROR(IF(N(INDEX(Fleet!$N$5:$N$79,MATCH(B458,Fleet!$A$5:$A$79,0)))&gt;0,INDEX(Fleet!$N$5:$N$79,MATCH(B458,Fleet!$A$5:$A$79,0)),Assumptions!$B$7),Assumptions!$B$7))</f>
        <v/>
      </c>
      <c r="H458" s="34" t="str">
        <f aca="false">IF(OR(F458="",G458=""),"",F458*G458)</f>
        <v/>
      </c>
      <c r="I458" s="32"/>
      <c r="J458" s="32"/>
      <c r="K458" s="37"/>
      <c r="L458" s="38" t="str">
        <f aca="false">IF(C458="","",DATE(YEAR(C458),MONTH(C458),1))</f>
        <v/>
      </c>
      <c r="M458" s="34" t="str">
        <f aca="false">IF(F458="","",N(H458)+N(I458)-N(J458))</f>
        <v/>
      </c>
      <c r="N458" s="29"/>
    </row>
    <row r="459" customFormat="false" ht="15" hidden="false" customHeight="false" outlineLevel="0" collapsed="false">
      <c r="A459" s="29"/>
      <c r="B459" s="29"/>
      <c r="C459" s="31"/>
      <c r="D459" s="31"/>
      <c r="E459" s="35" t="str">
        <f aca="false">IF(OR(C459="",D459=""),"",MAX(1,D459-C459))</f>
        <v/>
      </c>
      <c r="F459" s="32"/>
      <c r="G459" s="36" t="str">
        <f aca="false">IF(B459="","",IFERROR(IF(N(INDEX(Fleet!$N$5:$N$79,MATCH(B459,Fleet!$A$5:$A$79,0)))&gt;0,INDEX(Fleet!$N$5:$N$79,MATCH(B459,Fleet!$A$5:$A$79,0)),Assumptions!$B$7),Assumptions!$B$7))</f>
        <v/>
      </c>
      <c r="H459" s="34" t="str">
        <f aca="false">IF(OR(F459="",G459=""),"",F459*G459)</f>
        <v/>
      </c>
      <c r="I459" s="32"/>
      <c r="J459" s="32"/>
      <c r="K459" s="37"/>
      <c r="L459" s="38" t="str">
        <f aca="false">IF(C459="","",DATE(YEAR(C459),MONTH(C459),1))</f>
        <v/>
      </c>
      <c r="M459" s="34" t="str">
        <f aca="false">IF(F459="","",N(H459)+N(I459)-N(J459))</f>
        <v/>
      </c>
      <c r="N459" s="29"/>
    </row>
    <row r="460" customFormat="false" ht="15" hidden="false" customHeight="false" outlineLevel="0" collapsed="false">
      <c r="A460" s="29"/>
      <c r="B460" s="29"/>
      <c r="C460" s="31"/>
      <c r="D460" s="31"/>
      <c r="E460" s="35" t="str">
        <f aca="false">IF(OR(C460="",D460=""),"",MAX(1,D460-C460))</f>
        <v/>
      </c>
      <c r="F460" s="32"/>
      <c r="G460" s="36" t="str">
        <f aca="false">IF(B460="","",IFERROR(IF(N(INDEX(Fleet!$N$5:$N$79,MATCH(B460,Fleet!$A$5:$A$79,0)))&gt;0,INDEX(Fleet!$N$5:$N$79,MATCH(B460,Fleet!$A$5:$A$79,0)),Assumptions!$B$7),Assumptions!$B$7))</f>
        <v/>
      </c>
      <c r="H460" s="34" t="str">
        <f aca="false">IF(OR(F460="",G460=""),"",F460*G460)</f>
        <v/>
      </c>
      <c r="I460" s="32"/>
      <c r="J460" s="32"/>
      <c r="K460" s="37"/>
      <c r="L460" s="38" t="str">
        <f aca="false">IF(C460="","",DATE(YEAR(C460),MONTH(C460),1))</f>
        <v/>
      </c>
      <c r="M460" s="34" t="str">
        <f aca="false">IF(F460="","",N(H460)+N(I460)-N(J460))</f>
        <v/>
      </c>
      <c r="N460" s="29"/>
    </row>
    <row r="461" customFormat="false" ht="15" hidden="false" customHeight="false" outlineLevel="0" collapsed="false">
      <c r="A461" s="29"/>
      <c r="B461" s="29"/>
      <c r="C461" s="31"/>
      <c r="D461" s="31"/>
      <c r="E461" s="35" t="str">
        <f aca="false">IF(OR(C461="",D461=""),"",MAX(1,D461-C461))</f>
        <v/>
      </c>
      <c r="F461" s="32"/>
      <c r="G461" s="36" t="str">
        <f aca="false">IF(B461="","",IFERROR(IF(N(INDEX(Fleet!$N$5:$N$79,MATCH(B461,Fleet!$A$5:$A$79,0)))&gt;0,INDEX(Fleet!$N$5:$N$79,MATCH(B461,Fleet!$A$5:$A$79,0)),Assumptions!$B$7),Assumptions!$B$7))</f>
        <v/>
      </c>
      <c r="H461" s="34" t="str">
        <f aca="false">IF(OR(F461="",G461=""),"",F461*G461)</f>
        <v/>
      </c>
      <c r="I461" s="32"/>
      <c r="J461" s="32"/>
      <c r="K461" s="37"/>
      <c r="L461" s="38" t="str">
        <f aca="false">IF(C461="","",DATE(YEAR(C461),MONTH(C461),1))</f>
        <v/>
      </c>
      <c r="M461" s="34" t="str">
        <f aca="false">IF(F461="","",N(H461)+N(I461)-N(J461))</f>
        <v/>
      </c>
      <c r="N461" s="29"/>
    </row>
    <row r="462" customFormat="false" ht="15" hidden="false" customHeight="false" outlineLevel="0" collapsed="false">
      <c r="A462" s="29"/>
      <c r="B462" s="29"/>
      <c r="C462" s="31"/>
      <c r="D462" s="31"/>
      <c r="E462" s="35" t="str">
        <f aca="false">IF(OR(C462="",D462=""),"",MAX(1,D462-C462))</f>
        <v/>
      </c>
      <c r="F462" s="32"/>
      <c r="G462" s="36" t="str">
        <f aca="false">IF(B462="","",IFERROR(IF(N(INDEX(Fleet!$N$5:$N$79,MATCH(B462,Fleet!$A$5:$A$79,0)))&gt;0,INDEX(Fleet!$N$5:$N$79,MATCH(B462,Fleet!$A$5:$A$79,0)),Assumptions!$B$7),Assumptions!$B$7))</f>
        <v/>
      </c>
      <c r="H462" s="34" t="str">
        <f aca="false">IF(OR(F462="",G462=""),"",F462*G462)</f>
        <v/>
      </c>
      <c r="I462" s="32"/>
      <c r="J462" s="32"/>
      <c r="K462" s="37"/>
      <c r="L462" s="38" t="str">
        <f aca="false">IF(C462="","",DATE(YEAR(C462),MONTH(C462),1))</f>
        <v/>
      </c>
      <c r="M462" s="34" t="str">
        <f aca="false">IF(F462="","",N(H462)+N(I462)-N(J462))</f>
        <v/>
      </c>
      <c r="N462" s="29"/>
    </row>
    <row r="463" customFormat="false" ht="15" hidden="false" customHeight="false" outlineLevel="0" collapsed="false">
      <c r="A463" s="29"/>
      <c r="B463" s="29"/>
      <c r="C463" s="31"/>
      <c r="D463" s="31"/>
      <c r="E463" s="35" t="str">
        <f aca="false">IF(OR(C463="",D463=""),"",MAX(1,D463-C463))</f>
        <v/>
      </c>
      <c r="F463" s="32"/>
      <c r="G463" s="36" t="str">
        <f aca="false">IF(B463="","",IFERROR(IF(N(INDEX(Fleet!$N$5:$N$79,MATCH(B463,Fleet!$A$5:$A$79,0)))&gt;0,INDEX(Fleet!$N$5:$N$79,MATCH(B463,Fleet!$A$5:$A$79,0)),Assumptions!$B$7),Assumptions!$B$7))</f>
        <v/>
      </c>
      <c r="H463" s="34" t="str">
        <f aca="false">IF(OR(F463="",G463=""),"",F463*G463)</f>
        <v/>
      </c>
      <c r="I463" s="32"/>
      <c r="J463" s="32"/>
      <c r="K463" s="37"/>
      <c r="L463" s="38" t="str">
        <f aca="false">IF(C463="","",DATE(YEAR(C463),MONTH(C463),1))</f>
        <v/>
      </c>
      <c r="M463" s="34" t="str">
        <f aca="false">IF(F463="","",N(H463)+N(I463)-N(J463))</f>
        <v/>
      </c>
      <c r="N463" s="29"/>
    </row>
    <row r="464" customFormat="false" ht="15" hidden="false" customHeight="false" outlineLevel="0" collapsed="false">
      <c r="A464" s="29"/>
      <c r="B464" s="29"/>
      <c r="C464" s="31"/>
      <c r="D464" s="31"/>
      <c r="E464" s="35" t="str">
        <f aca="false">IF(OR(C464="",D464=""),"",MAX(1,D464-C464))</f>
        <v/>
      </c>
      <c r="F464" s="32"/>
      <c r="G464" s="36" t="str">
        <f aca="false">IF(B464="","",IFERROR(IF(N(INDEX(Fleet!$N$5:$N$79,MATCH(B464,Fleet!$A$5:$A$79,0)))&gt;0,INDEX(Fleet!$N$5:$N$79,MATCH(B464,Fleet!$A$5:$A$79,0)),Assumptions!$B$7),Assumptions!$B$7))</f>
        <v/>
      </c>
      <c r="H464" s="34" t="str">
        <f aca="false">IF(OR(F464="",G464=""),"",F464*G464)</f>
        <v/>
      </c>
      <c r="I464" s="32"/>
      <c r="J464" s="32"/>
      <c r="K464" s="37"/>
      <c r="L464" s="38" t="str">
        <f aca="false">IF(C464="","",DATE(YEAR(C464),MONTH(C464),1))</f>
        <v/>
      </c>
      <c r="M464" s="34" t="str">
        <f aca="false">IF(F464="","",N(H464)+N(I464)-N(J464))</f>
        <v/>
      </c>
      <c r="N464" s="29"/>
    </row>
    <row r="465" customFormat="false" ht="15" hidden="false" customHeight="false" outlineLevel="0" collapsed="false">
      <c r="A465" s="29"/>
      <c r="B465" s="29"/>
      <c r="C465" s="31"/>
      <c r="D465" s="31"/>
      <c r="E465" s="35" t="str">
        <f aca="false">IF(OR(C465="",D465=""),"",MAX(1,D465-C465))</f>
        <v/>
      </c>
      <c r="F465" s="32"/>
      <c r="G465" s="36" t="str">
        <f aca="false">IF(B465="","",IFERROR(IF(N(INDEX(Fleet!$N$5:$N$79,MATCH(B465,Fleet!$A$5:$A$79,0)))&gt;0,INDEX(Fleet!$N$5:$N$79,MATCH(B465,Fleet!$A$5:$A$79,0)),Assumptions!$B$7),Assumptions!$B$7))</f>
        <v/>
      </c>
      <c r="H465" s="34" t="str">
        <f aca="false">IF(OR(F465="",G465=""),"",F465*G465)</f>
        <v/>
      </c>
      <c r="I465" s="32"/>
      <c r="J465" s="32"/>
      <c r="K465" s="37"/>
      <c r="L465" s="38" t="str">
        <f aca="false">IF(C465="","",DATE(YEAR(C465),MONTH(C465),1))</f>
        <v/>
      </c>
      <c r="M465" s="34" t="str">
        <f aca="false">IF(F465="","",N(H465)+N(I465)-N(J465))</f>
        <v/>
      </c>
      <c r="N465" s="29"/>
    </row>
    <row r="466" customFormat="false" ht="15" hidden="false" customHeight="false" outlineLevel="0" collapsed="false">
      <c r="A466" s="29"/>
      <c r="B466" s="29"/>
      <c r="C466" s="31"/>
      <c r="D466" s="31"/>
      <c r="E466" s="35" t="str">
        <f aca="false">IF(OR(C466="",D466=""),"",MAX(1,D466-C466))</f>
        <v/>
      </c>
      <c r="F466" s="32"/>
      <c r="G466" s="36" t="str">
        <f aca="false">IF(B466="","",IFERROR(IF(N(INDEX(Fleet!$N$5:$N$79,MATCH(B466,Fleet!$A$5:$A$79,0)))&gt;0,INDEX(Fleet!$N$5:$N$79,MATCH(B466,Fleet!$A$5:$A$79,0)),Assumptions!$B$7),Assumptions!$B$7))</f>
        <v/>
      </c>
      <c r="H466" s="34" t="str">
        <f aca="false">IF(OR(F466="",G466=""),"",F466*G466)</f>
        <v/>
      </c>
      <c r="I466" s="32"/>
      <c r="J466" s="32"/>
      <c r="K466" s="37"/>
      <c r="L466" s="38" t="str">
        <f aca="false">IF(C466="","",DATE(YEAR(C466),MONTH(C466),1))</f>
        <v/>
      </c>
      <c r="M466" s="34" t="str">
        <f aca="false">IF(F466="","",N(H466)+N(I466)-N(J466))</f>
        <v/>
      </c>
      <c r="N466" s="29"/>
    </row>
    <row r="467" customFormat="false" ht="15" hidden="false" customHeight="false" outlineLevel="0" collapsed="false">
      <c r="A467" s="29"/>
      <c r="B467" s="29"/>
      <c r="C467" s="31"/>
      <c r="D467" s="31"/>
      <c r="E467" s="35" t="str">
        <f aca="false">IF(OR(C467="",D467=""),"",MAX(1,D467-C467))</f>
        <v/>
      </c>
      <c r="F467" s="32"/>
      <c r="G467" s="36" t="str">
        <f aca="false">IF(B467="","",IFERROR(IF(N(INDEX(Fleet!$N$5:$N$79,MATCH(B467,Fleet!$A$5:$A$79,0)))&gt;0,INDEX(Fleet!$N$5:$N$79,MATCH(B467,Fleet!$A$5:$A$79,0)),Assumptions!$B$7),Assumptions!$B$7))</f>
        <v/>
      </c>
      <c r="H467" s="34" t="str">
        <f aca="false">IF(OR(F467="",G467=""),"",F467*G467)</f>
        <v/>
      </c>
      <c r="I467" s="32"/>
      <c r="J467" s="32"/>
      <c r="K467" s="37"/>
      <c r="L467" s="38" t="str">
        <f aca="false">IF(C467="","",DATE(YEAR(C467),MONTH(C467),1))</f>
        <v/>
      </c>
      <c r="M467" s="34" t="str">
        <f aca="false">IF(F467="","",N(H467)+N(I467)-N(J467))</f>
        <v/>
      </c>
      <c r="N467" s="29"/>
    </row>
    <row r="468" customFormat="false" ht="15" hidden="false" customHeight="false" outlineLevel="0" collapsed="false">
      <c r="A468" s="29"/>
      <c r="B468" s="29"/>
      <c r="C468" s="31"/>
      <c r="D468" s="31"/>
      <c r="E468" s="35" t="str">
        <f aca="false">IF(OR(C468="",D468=""),"",MAX(1,D468-C468))</f>
        <v/>
      </c>
      <c r="F468" s="32"/>
      <c r="G468" s="36" t="str">
        <f aca="false">IF(B468="","",IFERROR(IF(N(INDEX(Fleet!$N$5:$N$79,MATCH(B468,Fleet!$A$5:$A$79,0)))&gt;0,INDEX(Fleet!$N$5:$N$79,MATCH(B468,Fleet!$A$5:$A$79,0)),Assumptions!$B$7),Assumptions!$B$7))</f>
        <v/>
      </c>
      <c r="H468" s="34" t="str">
        <f aca="false">IF(OR(F468="",G468=""),"",F468*G468)</f>
        <v/>
      </c>
      <c r="I468" s="32"/>
      <c r="J468" s="32"/>
      <c r="K468" s="37"/>
      <c r="L468" s="38" t="str">
        <f aca="false">IF(C468="","",DATE(YEAR(C468),MONTH(C468),1))</f>
        <v/>
      </c>
      <c r="M468" s="34" t="str">
        <f aca="false">IF(F468="","",N(H468)+N(I468)-N(J468))</f>
        <v/>
      </c>
      <c r="N468" s="29"/>
    </row>
    <row r="469" customFormat="false" ht="15" hidden="false" customHeight="false" outlineLevel="0" collapsed="false">
      <c r="A469" s="29"/>
      <c r="B469" s="29"/>
      <c r="C469" s="31"/>
      <c r="D469" s="31"/>
      <c r="E469" s="35" t="str">
        <f aca="false">IF(OR(C469="",D469=""),"",MAX(1,D469-C469))</f>
        <v/>
      </c>
      <c r="F469" s="32"/>
      <c r="G469" s="36" t="str">
        <f aca="false">IF(B469="","",IFERROR(IF(N(INDEX(Fleet!$N$5:$N$79,MATCH(B469,Fleet!$A$5:$A$79,0)))&gt;0,INDEX(Fleet!$N$5:$N$79,MATCH(B469,Fleet!$A$5:$A$79,0)),Assumptions!$B$7),Assumptions!$B$7))</f>
        <v/>
      </c>
      <c r="H469" s="34" t="str">
        <f aca="false">IF(OR(F469="",G469=""),"",F469*G469)</f>
        <v/>
      </c>
      <c r="I469" s="32"/>
      <c r="J469" s="32"/>
      <c r="K469" s="37"/>
      <c r="L469" s="38" t="str">
        <f aca="false">IF(C469="","",DATE(YEAR(C469),MONTH(C469),1))</f>
        <v/>
      </c>
      <c r="M469" s="34" t="str">
        <f aca="false">IF(F469="","",N(H469)+N(I469)-N(J469))</f>
        <v/>
      </c>
      <c r="N469" s="29"/>
    </row>
    <row r="470" customFormat="false" ht="15" hidden="false" customHeight="false" outlineLevel="0" collapsed="false">
      <c r="A470" s="29"/>
      <c r="B470" s="29"/>
      <c r="C470" s="31"/>
      <c r="D470" s="31"/>
      <c r="E470" s="35" t="str">
        <f aca="false">IF(OR(C470="",D470=""),"",MAX(1,D470-C470))</f>
        <v/>
      </c>
      <c r="F470" s="32"/>
      <c r="G470" s="36" t="str">
        <f aca="false">IF(B470="","",IFERROR(IF(N(INDEX(Fleet!$N$5:$N$79,MATCH(B470,Fleet!$A$5:$A$79,0)))&gt;0,INDEX(Fleet!$N$5:$N$79,MATCH(B470,Fleet!$A$5:$A$79,0)),Assumptions!$B$7),Assumptions!$B$7))</f>
        <v/>
      </c>
      <c r="H470" s="34" t="str">
        <f aca="false">IF(OR(F470="",G470=""),"",F470*G470)</f>
        <v/>
      </c>
      <c r="I470" s="32"/>
      <c r="J470" s="32"/>
      <c r="K470" s="37"/>
      <c r="L470" s="38" t="str">
        <f aca="false">IF(C470="","",DATE(YEAR(C470),MONTH(C470),1))</f>
        <v/>
      </c>
      <c r="M470" s="34" t="str">
        <f aca="false">IF(F470="","",N(H470)+N(I470)-N(J470))</f>
        <v/>
      </c>
      <c r="N470" s="29"/>
    </row>
    <row r="471" customFormat="false" ht="15" hidden="false" customHeight="false" outlineLevel="0" collapsed="false">
      <c r="A471" s="29"/>
      <c r="B471" s="29"/>
      <c r="C471" s="31"/>
      <c r="D471" s="31"/>
      <c r="E471" s="35" t="str">
        <f aca="false">IF(OR(C471="",D471=""),"",MAX(1,D471-C471))</f>
        <v/>
      </c>
      <c r="F471" s="32"/>
      <c r="G471" s="36" t="str">
        <f aca="false">IF(B471="","",IFERROR(IF(N(INDEX(Fleet!$N$5:$N$79,MATCH(B471,Fleet!$A$5:$A$79,0)))&gt;0,INDEX(Fleet!$N$5:$N$79,MATCH(B471,Fleet!$A$5:$A$79,0)),Assumptions!$B$7),Assumptions!$B$7))</f>
        <v/>
      </c>
      <c r="H471" s="34" t="str">
        <f aca="false">IF(OR(F471="",G471=""),"",F471*G471)</f>
        <v/>
      </c>
      <c r="I471" s="32"/>
      <c r="J471" s="32"/>
      <c r="K471" s="37"/>
      <c r="L471" s="38" t="str">
        <f aca="false">IF(C471="","",DATE(YEAR(C471),MONTH(C471),1))</f>
        <v/>
      </c>
      <c r="M471" s="34" t="str">
        <f aca="false">IF(F471="","",N(H471)+N(I471)-N(J471))</f>
        <v/>
      </c>
      <c r="N471" s="29"/>
    </row>
    <row r="472" customFormat="false" ht="15" hidden="false" customHeight="false" outlineLevel="0" collapsed="false">
      <c r="A472" s="29"/>
      <c r="B472" s="29"/>
      <c r="C472" s="31"/>
      <c r="D472" s="31"/>
      <c r="E472" s="35" t="str">
        <f aca="false">IF(OR(C472="",D472=""),"",MAX(1,D472-C472))</f>
        <v/>
      </c>
      <c r="F472" s="32"/>
      <c r="G472" s="36" t="str">
        <f aca="false">IF(B472="","",IFERROR(IF(N(INDEX(Fleet!$N$5:$N$79,MATCH(B472,Fleet!$A$5:$A$79,0)))&gt;0,INDEX(Fleet!$N$5:$N$79,MATCH(B472,Fleet!$A$5:$A$79,0)),Assumptions!$B$7),Assumptions!$B$7))</f>
        <v/>
      </c>
      <c r="H472" s="34" t="str">
        <f aca="false">IF(OR(F472="",G472=""),"",F472*G472)</f>
        <v/>
      </c>
      <c r="I472" s="32"/>
      <c r="J472" s="32"/>
      <c r="K472" s="37"/>
      <c r="L472" s="38" t="str">
        <f aca="false">IF(C472="","",DATE(YEAR(C472),MONTH(C472),1))</f>
        <v/>
      </c>
      <c r="M472" s="34" t="str">
        <f aca="false">IF(F472="","",N(H472)+N(I472)-N(J472))</f>
        <v/>
      </c>
      <c r="N472" s="29"/>
    </row>
    <row r="473" customFormat="false" ht="15" hidden="false" customHeight="false" outlineLevel="0" collapsed="false">
      <c r="A473" s="29"/>
      <c r="B473" s="29"/>
      <c r="C473" s="31"/>
      <c r="D473" s="31"/>
      <c r="E473" s="35" t="str">
        <f aca="false">IF(OR(C473="",D473=""),"",MAX(1,D473-C473))</f>
        <v/>
      </c>
      <c r="F473" s="32"/>
      <c r="G473" s="36" t="str">
        <f aca="false">IF(B473="","",IFERROR(IF(N(INDEX(Fleet!$N$5:$N$79,MATCH(B473,Fleet!$A$5:$A$79,0)))&gt;0,INDEX(Fleet!$N$5:$N$79,MATCH(B473,Fleet!$A$5:$A$79,0)),Assumptions!$B$7),Assumptions!$B$7))</f>
        <v/>
      </c>
      <c r="H473" s="34" t="str">
        <f aca="false">IF(OR(F473="",G473=""),"",F473*G473)</f>
        <v/>
      </c>
      <c r="I473" s="32"/>
      <c r="J473" s="32"/>
      <c r="K473" s="37"/>
      <c r="L473" s="38" t="str">
        <f aca="false">IF(C473="","",DATE(YEAR(C473),MONTH(C473),1))</f>
        <v/>
      </c>
      <c r="M473" s="34" t="str">
        <f aca="false">IF(F473="","",N(H473)+N(I473)-N(J473))</f>
        <v/>
      </c>
      <c r="N473" s="29"/>
    </row>
    <row r="474" customFormat="false" ht="15" hidden="false" customHeight="false" outlineLevel="0" collapsed="false">
      <c r="A474" s="29"/>
      <c r="B474" s="29"/>
      <c r="C474" s="31"/>
      <c r="D474" s="31"/>
      <c r="E474" s="35" t="str">
        <f aca="false">IF(OR(C474="",D474=""),"",MAX(1,D474-C474))</f>
        <v/>
      </c>
      <c r="F474" s="32"/>
      <c r="G474" s="36" t="str">
        <f aca="false">IF(B474="","",IFERROR(IF(N(INDEX(Fleet!$N$5:$N$79,MATCH(B474,Fleet!$A$5:$A$79,0)))&gt;0,INDEX(Fleet!$N$5:$N$79,MATCH(B474,Fleet!$A$5:$A$79,0)),Assumptions!$B$7),Assumptions!$B$7))</f>
        <v/>
      </c>
      <c r="H474" s="34" t="str">
        <f aca="false">IF(OR(F474="",G474=""),"",F474*G474)</f>
        <v/>
      </c>
      <c r="I474" s="32"/>
      <c r="J474" s="32"/>
      <c r="K474" s="37"/>
      <c r="L474" s="38" t="str">
        <f aca="false">IF(C474="","",DATE(YEAR(C474),MONTH(C474),1))</f>
        <v/>
      </c>
      <c r="M474" s="34" t="str">
        <f aca="false">IF(F474="","",N(H474)+N(I474)-N(J474))</f>
        <v/>
      </c>
      <c r="N474" s="29"/>
    </row>
    <row r="475" customFormat="false" ht="15" hidden="false" customHeight="false" outlineLevel="0" collapsed="false">
      <c r="A475" s="29"/>
      <c r="B475" s="29"/>
      <c r="C475" s="31"/>
      <c r="D475" s="31"/>
      <c r="E475" s="35" t="str">
        <f aca="false">IF(OR(C475="",D475=""),"",MAX(1,D475-C475))</f>
        <v/>
      </c>
      <c r="F475" s="32"/>
      <c r="G475" s="36" t="str">
        <f aca="false">IF(B475="","",IFERROR(IF(N(INDEX(Fleet!$N$5:$N$79,MATCH(B475,Fleet!$A$5:$A$79,0)))&gt;0,INDEX(Fleet!$N$5:$N$79,MATCH(B475,Fleet!$A$5:$A$79,0)),Assumptions!$B$7),Assumptions!$B$7))</f>
        <v/>
      </c>
      <c r="H475" s="34" t="str">
        <f aca="false">IF(OR(F475="",G475=""),"",F475*G475)</f>
        <v/>
      </c>
      <c r="I475" s="32"/>
      <c r="J475" s="32"/>
      <c r="K475" s="37"/>
      <c r="L475" s="38" t="str">
        <f aca="false">IF(C475="","",DATE(YEAR(C475),MONTH(C475),1))</f>
        <v/>
      </c>
      <c r="M475" s="34" t="str">
        <f aca="false">IF(F475="","",N(H475)+N(I475)-N(J475))</f>
        <v/>
      </c>
      <c r="N475" s="29"/>
    </row>
    <row r="476" customFormat="false" ht="15" hidden="false" customHeight="false" outlineLevel="0" collapsed="false">
      <c r="A476" s="29"/>
      <c r="B476" s="29"/>
      <c r="C476" s="31"/>
      <c r="D476" s="31"/>
      <c r="E476" s="35" t="str">
        <f aca="false">IF(OR(C476="",D476=""),"",MAX(1,D476-C476))</f>
        <v/>
      </c>
      <c r="F476" s="32"/>
      <c r="G476" s="36" t="str">
        <f aca="false">IF(B476="","",IFERROR(IF(N(INDEX(Fleet!$N$5:$N$79,MATCH(B476,Fleet!$A$5:$A$79,0)))&gt;0,INDEX(Fleet!$N$5:$N$79,MATCH(B476,Fleet!$A$5:$A$79,0)),Assumptions!$B$7),Assumptions!$B$7))</f>
        <v/>
      </c>
      <c r="H476" s="34" t="str">
        <f aca="false">IF(OR(F476="",G476=""),"",F476*G476)</f>
        <v/>
      </c>
      <c r="I476" s="32"/>
      <c r="J476" s="32"/>
      <c r="K476" s="37"/>
      <c r="L476" s="38" t="str">
        <f aca="false">IF(C476="","",DATE(YEAR(C476),MONTH(C476),1))</f>
        <v/>
      </c>
      <c r="M476" s="34" t="str">
        <f aca="false">IF(F476="","",N(H476)+N(I476)-N(J476))</f>
        <v/>
      </c>
      <c r="N476" s="29"/>
    </row>
    <row r="477" customFormat="false" ht="15" hidden="false" customHeight="false" outlineLevel="0" collapsed="false">
      <c r="A477" s="29"/>
      <c r="B477" s="29"/>
      <c r="C477" s="31"/>
      <c r="D477" s="31"/>
      <c r="E477" s="35" t="str">
        <f aca="false">IF(OR(C477="",D477=""),"",MAX(1,D477-C477))</f>
        <v/>
      </c>
      <c r="F477" s="32"/>
      <c r="G477" s="36" t="str">
        <f aca="false">IF(B477="","",IFERROR(IF(N(INDEX(Fleet!$N$5:$N$79,MATCH(B477,Fleet!$A$5:$A$79,0)))&gt;0,INDEX(Fleet!$N$5:$N$79,MATCH(B477,Fleet!$A$5:$A$79,0)),Assumptions!$B$7),Assumptions!$B$7))</f>
        <v/>
      </c>
      <c r="H477" s="34" t="str">
        <f aca="false">IF(OR(F477="",G477=""),"",F477*G477)</f>
        <v/>
      </c>
      <c r="I477" s="32"/>
      <c r="J477" s="32"/>
      <c r="K477" s="37"/>
      <c r="L477" s="38" t="str">
        <f aca="false">IF(C477="","",DATE(YEAR(C477),MONTH(C477),1))</f>
        <v/>
      </c>
      <c r="M477" s="34" t="str">
        <f aca="false">IF(F477="","",N(H477)+N(I477)-N(J477))</f>
        <v/>
      </c>
      <c r="N477" s="29"/>
    </row>
    <row r="478" customFormat="false" ht="15" hidden="false" customHeight="false" outlineLevel="0" collapsed="false">
      <c r="A478" s="29"/>
      <c r="B478" s="29"/>
      <c r="C478" s="31"/>
      <c r="D478" s="31"/>
      <c r="E478" s="35" t="str">
        <f aca="false">IF(OR(C478="",D478=""),"",MAX(1,D478-C478))</f>
        <v/>
      </c>
      <c r="F478" s="32"/>
      <c r="G478" s="36" t="str">
        <f aca="false">IF(B478="","",IFERROR(IF(N(INDEX(Fleet!$N$5:$N$79,MATCH(B478,Fleet!$A$5:$A$79,0)))&gt;0,INDEX(Fleet!$N$5:$N$79,MATCH(B478,Fleet!$A$5:$A$79,0)),Assumptions!$B$7),Assumptions!$B$7))</f>
        <v/>
      </c>
      <c r="H478" s="34" t="str">
        <f aca="false">IF(OR(F478="",G478=""),"",F478*G478)</f>
        <v/>
      </c>
      <c r="I478" s="32"/>
      <c r="J478" s="32"/>
      <c r="K478" s="37"/>
      <c r="L478" s="38" t="str">
        <f aca="false">IF(C478="","",DATE(YEAR(C478),MONTH(C478),1))</f>
        <v/>
      </c>
      <c r="M478" s="34" t="str">
        <f aca="false">IF(F478="","",N(H478)+N(I478)-N(J478))</f>
        <v/>
      </c>
      <c r="N478" s="29"/>
    </row>
    <row r="479" customFormat="false" ht="15" hidden="false" customHeight="false" outlineLevel="0" collapsed="false">
      <c r="A479" s="29"/>
      <c r="B479" s="29"/>
      <c r="C479" s="31"/>
      <c r="D479" s="31"/>
      <c r="E479" s="35" t="str">
        <f aca="false">IF(OR(C479="",D479=""),"",MAX(1,D479-C479))</f>
        <v/>
      </c>
      <c r="F479" s="32"/>
      <c r="G479" s="36" t="str">
        <f aca="false">IF(B479="","",IFERROR(IF(N(INDEX(Fleet!$N$5:$N$79,MATCH(B479,Fleet!$A$5:$A$79,0)))&gt;0,INDEX(Fleet!$N$5:$N$79,MATCH(B479,Fleet!$A$5:$A$79,0)),Assumptions!$B$7),Assumptions!$B$7))</f>
        <v/>
      </c>
      <c r="H479" s="34" t="str">
        <f aca="false">IF(OR(F479="",G479=""),"",F479*G479)</f>
        <v/>
      </c>
      <c r="I479" s="32"/>
      <c r="J479" s="32"/>
      <c r="K479" s="37"/>
      <c r="L479" s="38" t="str">
        <f aca="false">IF(C479="","",DATE(YEAR(C479),MONTH(C479),1))</f>
        <v/>
      </c>
      <c r="M479" s="34" t="str">
        <f aca="false">IF(F479="","",N(H479)+N(I479)-N(J479))</f>
        <v/>
      </c>
      <c r="N479" s="29"/>
    </row>
    <row r="480" customFormat="false" ht="15" hidden="false" customHeight="false" outlineLevel="0" collapsed="false">
      <c r="A480" s="29"/>
      <c r="B480" s="29"/>
      <c r="C480" s="31"/>
      <c r="D480" s="31"/>
      <c r="E480" s="35" t="str">
        <f aca="false">IF(OR(C480="",D480=""),"",MAX(1,D480-C480))</f>
        <v/>
      </c>
      <c r="F480" s="32"/>
      <c r="G480" s="36" t="str">
        <f aca="false">IF(B480="","",IFERROR(IF(N(INDEX(Fleet!$N$5:$N$79,MATCH(B480,Fleet!$A$5:$A$79,0)))&gt;0,INDEX(Fleet!$N$5:$N$79,MATCH(B480,Fleet!$A$5:$A$79,0)),Assumptions!$B$7),Assumptions!$B$7))</f>
        <v/>
      </c>
      <c r="H480" s="34" t="str">
        <f aca="false">IF(OR(F480="",G480=""),"",F480*G480)</f>
        <v/>
      </c>
      <c r="I480" s="32"/>
      <c r="J480" s="32"/>
      <c r="K480" s="37"/>
      <c r="L480" s="38" t="str">
        <f aca="false">IF(C480="","",DATE(YEAR(C480),MONTH(C480),1))</f>
        <v/>
      </c>
      <c r="M480" s="34" t="str">
        <f aca="false">IF(F480="","",N(H480)+N(I480)-N(J480))</f>
        <v/>
      </c>
      <c r="N480" s="29"/>
    </row>
    <row r="481" customFormat="false" ht="15" hidden="false" customHeight="false" outlineLevel="0" collapsed="false">
      <c r="A481" s="29"/>
      <c r="B481" s="29"/>
      <c r="C481" s="31"/>
      <c r="D481" s="31"/>
      <c r="E481" s="35" t="str">
        <f aca="false">IF(OR(C481="",D481=""),"",MAX(1,D481-C481))</f>
        <v/>
      </c>
      <c r="F481" s="32"/>
      <c r="G481" s="36" t="str">
        <f aca="false">IF(B481="","",IFERROR(IF(N(INDEX(Fleet!$N$5:$N$79,MATCH(B481,Fleet!$A$5:$A$79,0)))&gt;0,INDEX(Fleet!$N$5:$N$79,MATCH(B481,Fleet!$A$5:$A$79,0)),Assumptions!$B$7),Assumptions!$B$7))</f>
        <v/>
      </c>
      <c r="H481" s="34" t="str">
        <f aca="false">IF(OR(F481="",G481=""),"",F481*G481)</f>
        <v/>
      </c>
      <c r="I481" s="32"/>
      <c r="J481" s="32"/>
      <c r="K481" s="37"/>
      <c r="L481" s="38" t="str">
        <f aca="false">IF(C481="","",DATE(YEAR(C481),MONTH(C481),1))</f>
        <v/>
      </c>
      <c r="M481" s="34" t="str">
        <f aca="false">IF(F481="","",N(H481)+N(I481)-N(J481))</f>
        <v/>
      </c>
      <c r="N481" s="29"/>
    </row>
    <row r="482" customFormat="false" ht="15" hidden="false" customHeight="false" outlineLevel="0" collapsed="false">
      <c r="A482" s="29"/>
      <c r="B482" s="29"/>
      <c r="C482" s="31"/>
      <c r="D482" s="31"/>
      <c r="E482" s="35" t="str">
        <f aca="false">IF(OR(C482="",D482=""),"",MAX(1,D482-C482))</f>
        <v/>
      </c>
      <c r="F482" s="32"/>
      <c r="G482" s="36" t="str">
        <f aca="false">IF(B482="","",IFERROR(IF(N(INDEX(Fleet!$N$5:$N$79,MATCH(B482,Fleet!$A$5:$A$79,0)))&gt;0,INDEX(Fleet!$N$5:$N$79,MATCH(B482,Fleet!$A$5:$A$79,0)),Assumptions!$B$7),Assumptions!$B$7))</f>
        <v/>
      </c>
      <c r="H482" s="34" t="str">
        <f aca="false">IF(OR(F482="",G482=""),"",F482*G482)</f>
        <v/>
      </c>
      <c r="I482" s="32"/>
      <c r="J482" s="32"/>
      <c r="K482" s="37"/>
      <c r="L482" s="38" t="str">
        <f aca="false">IF(C482="","",DATE(YEAR(C482),MONTH(C482),1))</f>
        <v/>
      </c>
      <c r="M482" s="34" t="str">
        <f aca="false">IF(F482="","",N(H482)+N(I482)-N(J482))</f>
        <v/>
      </c>
      <c r="N482" s="29"/>
    </row>
    <row r="483" customFormat="false" ht="15" hidden="false" customHeight="false" outlineLevel="0" collapsed="false">
      <c r="A483" s="29"/>
      <c r="B483" s="29"/>
      <c r="C483" s="31"/>
      <c r="D483" s="31"/>
      <c r="E483" s="35" t="str">
        <f aca="false">IF(OR(C483="",D483=""),"",MAX(1,D483-C483))</f>
        <v/>
      </c>
      <c r="F483" s="32"/>
      <c r="G483" s="36" t="str">
        <f aca="false">IF(B483="","",IFERROR(IF(N(INDEX(Fleet!$N$5:$N$79,MATCH(B483,Fleet!$A$5:$A$79,0)))&gt;0,INDEX(Fleet!$N$5:$N$79,MATCH(B483,Fleet!$A$5:$A$79,0)),Assumptions!$B$7),Assumptions!$B$7))</f>
        <v/>
      </c>
      <c r="H483" s="34" t="str">
        <f aca="false">IF(OR(F483="",G483=""),"",F483*G483)</f>
        <v/>
      </c>
      <c r="I483" s="32"/>
      <c r="J483" s="32"/>
      <c r="K483" s="37"/>
      <c r="L483" s="38" t="str">
        <f aca="false">IF(C483="","",DATE(YEAR(C483),MONTH(C483),1))</f>
        <v/>
      </c>
      <c r="M483" s="34" t="str">
        <f aca="false">IF(F483="","",N(H483)+N(I483)-N(J483))</f>
        <v/>
      </c>
      <c r="N483" s="29"/>
    </row>
    <row r="484" customFormat="false" ht="15" hidden="false" customHeight="false" outlineLevel="0" collapsed="false">
      <c r="A484" s="29"/>
      <c r="B484" s="29"/>
      <c r="C484" s="31"/>
      <c r="D484" s="31"/>
      <c r="E484" s="35" t="str">
        <f aca="false">IF(OR(C484="",D484=""),"",MAX(1,D484-C484))</f>
        <v/>
      </c>
      <c r="F484" s="32"/>
      <c r="G484" s="36" t="str">
        <f aca="false">IF(B484="","",IFERROR(IF(N(INDEX(Fleet!$N$5:$N$79,MATCH(B484,Fleet!$A$5:$A$79,0)))&gt;0,INDEX(Fleet!$N$5:$N$79,MATCH(B484,Fleet!$A$5:$A$79,0)),Assumptions!$B$7),Assumptions!$B$7))</f>
        <v/>
      </c>
      <c r="H484" s="34" t="str">
        <f aca="false">IF(OR(F484="",G484=""),"",F484*G484)</f>
        <v/>
      </c>
      <c r="I484" s="32"/>
      <c r="J484" s="32"/>
      <c r="K484" s="37"/>
      <c r="L484" s="38" t="str">
        <f aca="false">IF(C484="","",DATE(YEAR(C484),MONTH(C484),1))</f>
        <v/>
      </c>
      <c r="M484" s="34" t="str">
        <f aca="false">IF(F484="","",N(H484)+N(I484)-N(J484))</f>
        <v/>
      </c>
      <c r="N484" s="29"/>
    </row>
    <row r="485" customFormat="false" ht="15" hidden="false" customHeight="false" outlineLevel="0" collapsed="false">
      <c r="A485" s="29"/>
      <c r="B485" s="29"/>
      <c r="C485" s="31"/>
      <c r="D485" s="31"/>
      <c r="E485" s="35" t="str">
        <f aca="false">IF(OR(C485="",D485=""),"",MAX(1,D485-C485))</f>
        <v/>
      </c>
      <c r="F485" s="32"/>
      <c r="G485" s="36" t="str">
        <f aca="false">IF(B485="","",IFERROR(IF(N(INDEX(Fleet!$N$5:$N$79,MATCH(B485,Fleet!$A$5:$A$79,0)))&gt;0,INDEX(Fleet!$N$5:$N$79,MATCH(B485,Fleet!$A$5:$A$79,0)),Assumptions!$B$7),Assumptions!$B$7))</f>
        <v/>
      </c>
      <c r="H485" s="34" t="str">
        <f aca="false">IF(OR(F485="",G485=""),"",F485*G485)</f>
        <v/>
      </c>
      <c r="I485" s="32"/>
      <c r="J485" s="32"/>
      <c r="K485" s="37"/>
      <c r="L485" s="38" t="str">
        <f aca="false">IF(C485="","",DATE(YEAR(C485),MONTH(C485),1))</f>
        <v/>
      </c>
      <c r="M485" s="34" t="str">
        <f aca="false">IF(F485="","",N(H485)+N(I485)-N(J485))</f>
        <v/>
      </c>
      <c r="N485" s="29"/>
    </row>
    <row r="486" customFormat="false" ht="15" hidden="false" customHeight="false" outlineLevel="0" collapsed="false">
      <c r="A486" s="29"/>
      <c r="B486" s="29"/>
      <c r="C486" s="31"/>
      <c r="D486" s="31"/>
      <c r="E486" s="35" t="str">
        <f aca="false">IF(OR(C486="",D486=""),"",MAX(1,D486-C486))</f>
        <v/>
      </c>
      <c r="F486" s="32"/>
      <c r="G486" s="36" t="str">
        <f aca="false">IF(B486="","",IFERROR(IF(N(INDEX(Fleet!$N$5:$N$79,MATCH(B486,Fleet!$A$5:$A$79,0)))&gt;0,INDEX(Fleet!$N$5:$N$79,MATCH(B486,Fleet!$A$5:$A$79,0)),Assumptions!$B$7),Assumptions!$B$7))</f>
        <v/>
      </c>
      <c r="H486" s="34" t="str">
        <f aca="false">IF(OR(F486="",G486=""),"",F486*G486)</f>
        <v/>
      </c>
      <c r="I486" s="32"/>
      <c r="J486" s="32"/>
      <c r="K486" s="37"/>
      <c r="L486" s="38" t="str">
        <f aca="false">IF(C486="","",DATE(YEAR(C486),MONTH(C486),1))</f>
        <v/>
      </c>
      <c r="M486" s="34" t="str">
        <f aca="false">IF(F486="","",N(H486)+N(I486)-N(J486))</f>
        <v/>
      </c>
      <c r="N486" s="29"/>
    </row>
    <row r="487" customFormat="false" ht="15" hidden="false" customHeight="false" outlineLevel="0" collapsed="false">
      <c r="A487" s="29"/>
      <c r="B487" s="29"/>
      <c r="C487" s="31"/>
      <c r="D487" s="31"/>
      <c r="E487" s="35" t="str">
        <f aca="false">IF(OR(C487="",D487=""),"",MAX(1,D487-C487))</f>
        <v/>
      </c>
      <c r="F487" s="32"/>
      <c r="G487" s="36" t="str">
        <f aca="false">IF(B487="","",IFERROR(IF(N(INDEX(Fleet!$N$5:$N$79,MATCH(B487,Fleet!$A$5:$A$79,0)))&gt;0,INDEX(Fleet!$N$5:$N$79,MATCH(B487,Fleet!$A$5:$A$79,0)),Assumptions!$B$7),Assumptions!$B$7))</f>
        <v/>
      </c>
      <c r="H487" s="34" t="str">
        <f aca="false">IF(OR(F487="",G487=""),"",F487*G487)</f>
        <v/>
      </c>
      <c r="I487" s="32"/>
      <c r="J487" s="32"/>
      <c r="K487" s="37"/>
      <c r="L487" s="38" t="str">
        <f aca="false">IF(C487="","",DATE(YEAR(C487),MONTH(C487),1))</f>
        <v/>
      </c>
      <c r="M487" s="34" t="str">
        <f aca="false">IF(F487="","",N(H487)+N(I487)-N(J487))</f>
        <v/>
      </c>
      <c r="N487" s="29"/>
    </row>
    <row r="488" customFormat="false" ht="15" hidden="false" customHeight="false" outlineLevel="0" collapsed="false">
      <c r="A488" s="29"/>
      <c r="B488" s="29"/>
      <c r="C488" s="31"/>
      <c r="D488" s="31"/>
      <c r="E488" s="35" t="str">
        <f aca="false">IF(OR(C488="",D488=""),"",MAX(1,D488-C488))</f>
        <v/>
      </c>
      <c r="F488" s="32"/>
      <c r="G488" s="36" t="str">
        <f aca="false">IF(B488="","",IFERROR(IF(N(INDEX(Fleet!$N$5:$N$79,MATCH(B488,Fleet!$A$5:$A$79,0)))&gt;0,INDEX(Fleet!$N$5:$N$79,MATCH(B488,Fleet!$A$5:$A$79,0)),Assumptions!$B$7),Assumptions!$B$7))</f>
        <v/>
      </c>
      <c r="H488" s="34" t="str">
        <f aca="false">IF(OR(F488="",G488=""),"",F488*G488)</f>
        <v/>
      </c>
      <c r="I488" s="32"/>
      <c r="J488" s="32"/>
      <c r="K488" s="37"/>
      <c r="L488" s="38" t="str">
        <f aca="false">IF(C488="","",DATE(YEAR(C488),MONTH(C488),1))</f>
        <v/>
      </c>
      <c r="M488" s="34" t="str">
        <f aca="false">IF(F488="","",N(H488)+N(I488)-N(J488))</f>
        <v/>
      </c>
      <c r="N488" s="29"/>
    </row>
    <row r="489" customFormat="false" ht="15" hidden="false" customHeight="false" outlineLevel="0" collapsed="false">
      <c r="A489" s="29"/>
      <c r="B489" s="29"/>
      <c r="C489" s="31"/>
      <c r="D489" s="31"/>
      <c r="E489" s="35" t="str">
        <f aca="false">IF(OR(C489="",D489=""),"",MAX(1,D489-C489))</f>
        <v/>
      </c>
      <c r="F489" s="32"/>
      <c r="G489" s="36" t="str">
        <f aca="false">IF(B489="","",IFERROR(IF(N(INDEX(Fleet!$N$5:$N$79,MATCH(B489,Fleet!$A$5:$A$79,0)))&gt;0,INDEX(Fleet!$N$5:$N$79,MATCH(B489,Fleet!$A$5:$A$79,0)),Assumptions!$B$7),Assumptions!$B$7))</f>
        <v/>
      </c>
      <c r="H489" s="34" t="str">
        <f aca="false">IF(OR(F489="",G489=""),"",F489*G489)</f>
        <v/>
      </c>
      <c r="I489" s="32"/>
      <c r="J489" s="32"/>
      <c r="K489" s="37"/>
      <c r="L489" s="38" t="str">
        <f aca="false">IF(C489="","",DATE(YEAR(C489),MONTH(C489),1))</f>
        <v/>
      </c>
      <c r="M489" s="34" t="str">
        <f aca="false">IF(F489="","",N(H489)+N(I489)-N(J489))</f>
        <v/>
      </c>
      <c r="N489" s="29"/>
    </row>
    <row r="490" customFormat="false" ht="15" hidden="false" customHeight="false" outlineLevel="0" collapsed="false">
      <c r="A490" s="29"/>
      <c r="B490" s="29"/>
      <c r="C490" s="31"/>
      <c r="D490" s="31"/>
      <c r="E490" s="35" t="str">
        <f aca="false">IF(OR(C490="",D490=""),"",MAX(1,D490-C490))</f>
        <v/>
      </c>
      <c r="F490" s="32"/>
      <c r="G490" s="36" t="str">
        <f aca="false">IF(B490="","",IFERROR(IF(N(INDEX(Fleet!$N$5:$N$79,MATCH(B490,Fleet!$A$5:$A$79,0)))&gt;0,INDEX(Fleet!$N$5:$N$79,MATCH(B490,Fleet!$A$5:$A$79,0)),Assumptions!$B$7),Assumptions!$B$7))</f>
        <v/>
      </c>
      <c r="H490" s="34" t="str">
        <f aca="false">IF(OR(F490="",G490=""),"",F490*G490)</f>
        <v/>
      </c>
      <c r="I490" s="32"/>
      <c r="J490" s="32"/>
      <c r="K490" s="37"/>
      <c r="L490" s="38" t="str">
        <f aca="false">IF(C490="","",DATE(YEAR(C490),MONTH(C490),1))</f>
        <v/>
      </c>
      <c r="M490" s="34" t="str">
        <f aca="false">IF(F490="","",N(H490)+N(I490)-N(J490))</f>
        <v/>
      </c>
      <c r="N490" s="29"/>
    </row>
    <row r="491" customFormat="false" ht="15" hidden="false" customHeight="false" outlineLevel="0" collapsed="false">
      <c r="A491" s="29"/>
      <c r="B491" s="29"/>
      <c r="C491" s="31"/>
      <c r="D491" s="31"/>
      <c r="E491" s="35" t="str">
        <f aca="false">IF(OR(C491="",D491=""),"",MAX(1,D491-C491))</f>
        <v/>
      </c>
      <c r="F491" s="32"/>
      <c r="G491" s="36" t="str">
        <f aca="false">IF(B491="","",IFERROR(IF(N(INDEX(Fleet!$N$5:$N$79,MATCH(B491,Fleet!$A$5:$A$79,0)))&gt;0,INDEX(Fleet!$N$5:$N$79,MATCH(B491,Fleet!$A$5:$A$79,0)),Assumptions!$B$7),Assumptions!$B$7))</f>
        <v/>
      </c>
      <c r="H491" s="34" t="str">
        <f aca="false">IF(OR(F491="",G491=""),"",F491*G491)</f>
        <v/>
      </c>
      <c r="I491" s="32"/>
      <c r="J491" s="32"/>
      <c r="K491" s="37"/>
      <c r="L491" s="38" t="str">
        <f aca="false">IF(C491="","",DATE(YEAR(C491),MONTH(C491),1))</f>
        <v/>
      </c>
      <c r="M491" s="34" t="str">
        <f aca="false">IF(F491="","",N(H491)+N(I491)-N(J491))</f>
        <v/>
      </c>
      <c r="N491" s="29"/>
    </row>
    <row r="492" customFormat="false" ht="15" hidden="false" customHeight="false" outlineLevel="0" collapsed="false">
      <c r="A492" s="29"/>
      <c r="B492" s="29"/>
      <c r="C492" s="31"/>
      <c r="D492" s="31"/>
      <c r="E492" s="35" t="str">
        <f aca="false">IF(OR(C492="",D492=""),"",MAX(1,D492-C492))</f>
        <v/>
      </c>
      <c r="F492" s="32"/>
      <c r="G492" s="36" t="str">
        <f aca="false">IF(B492="","",IFERROR(IF(N(INDEX(Fleet!$N$5:$N$79,MATCH(B492,Fleet!$A$5:$A$79,0)))&gt;0,INDEX(Fleet!$N$5:$N$79,MATCH(B492,Fleet!$A$5:$A$79,0)),Assumptions!$B$7),Assumptions!$B$7))</f>
        <v/>
      </c>
      <c r="H492" s="34" t="str">
        <f aca="false">IF(OR(F492="",G492=""),"",F492*G492)</f>
        <v/>
      </c>
      <c r="I492" s="32"/>
      <c r="J492" s="32"/>
      <c r="K492" s="37"/>
      <c r="L492" s="38" t="str">
        <f aca="false">IF(C492="","",DATE(YEAR(C492),MONTH(C492),1))</f>
        <v/>
      </c>
      <c r="M492" s="34" t="str">
        <f aca="false">IF(F492="","",N(H492)+N(I492)-N(J492))</f>
        <v/>
      </c>
      <c r="N492" s="29"/>
    </row>
    <row r="493" customFormat="false" ht="15" hidden="false" customHeight="false" outlineLevel="0" collapsed="false">
      <c r="A493" s="29"/>
      <c r="B493" s="29"/>
      <c r="C493" s="31"/>
      <c r="D493" s="31"/>
      <c r="E493" s="35" t="str">
        <f aca="false">IF(OR(C493="",D493=""),"",MAX(1,D493-C493))</f>
        <v/>
      </c>
      <c r="F493" s="32"/>
      <c r="G493" s="36" t="str">
        <f aca="false">IF(B493="","",IFERROR(IF(N(INDEX(Fleet!$N$5:$N$79,MATCH(B493,Fleet!$A$5:$A$79,0)))&gt;0,INDEX(Fleet!$N$5:$N$79,MATCH(B493,Fleet!$A$5:$A$79,0)),Assumptions!$B$7),Assumptions!$B$7))</f>
        <v/>
      </c>
      <c r="H493" s="34" t="str">
        <f aca="false">IF(OR(F493="",G493=""),"",F493*G493)</f>
        <v/>
      </c>
      <c r="I493" s="32"/>
      <c r="J493" s="32"/>
      <c r="K493" s="37"/>
      <c r="L493" s="38" t="str">
        <f aca="false">IF(C493="","",DATE(YEAR(C493),MONTH(C493),1))</f>
        <v/>
      </c>
      <c r="M493" s="34" t="str">
        <f aca="false">IF(F493="","",N(H493)+N(I493)-N(J493))</f>
        <v/>
      </c>
      <c r="N493" s="29"/>
    </row>
    <row r="494" customFormat="false" ht="15" hidden="false" customHeight="false" outlineLevel="0" collapsed="false">
      <c r="A494" s="29"/>
      <c r="B494" s="29"/>
      <c r="C494" s="31"/>
      <c r="D494" s="31"/>
      <c r="E494" s="35" t="str">
        <f aca="false">IF(OR(C494="",D494=""),"",MAX(1,D494-C494))</f>
        <v/>
      </c>
      <c r="F494" s="32"/>
      <c r="G494" s="36" t="str">
        <f aca="false">IF(B494="","",IFERROR(IF(N(INDEX(Fleet!$N$5:$N$79,MATCH(B494,Fleet!$A$5:$A$79,0)))&gt;0,INDEX(Fleet!$N$5:$N$79,MATCH(B494,Fleet!$A$5:$A$79,0)),Assumptions!$B$7),Assumptions!$B$7))</f>
        <v/>
      </c>
      <c r="H494" s="34" t="str">
        <f aca="false">IF(OR(F494="",G494=""),"",F494*G494)</f>
        <v/>
      </c>
      <c r="I494" s="32"/>
      <c r="J494" s="32"/>
      <c r="K494" s="37"/>
      <c r="L494" s="38" t="str">
        <f aca="false">IF(C494="","",DATE(YEAR(C494),MONTH(C494),1))</f>
        <v/>
      </c>
      <c r="M494" s="34" t="str">
        <f aca="false">IF(F494="","",N(H494)+N(I494)-N(J494))</f>
        <v/>
      </c>
      <c r="N494" s="29"/>
    </row>
    <row r="495" customFormat="false" ht="15" hidden="false" customHeight="false" outlineLevel="0" collapsed="false">
      <c r="A495" s="29"/>
      <c r="B495" s="29"/>
      <c r="C495" s="31"/>
      <c r="D495" s="31"/>
      <c r="E495" s="35" t="str">
        <f aca="false">IF(OR(C495="",D495=""),"",MAX(1,D495-C495))</f>
        <v/>
      </c>
      <c r="F495" s="32"/>
      <c r="G495" s="36" t="str">
        <f aca="false">IF(B495="","",IFERROR(IF(N(INDEX(Fleet!$N$5:$N$79,MATCH(B495,Fleet!$A$5:$A$79,0)))&gt;0,INDEX(Fleet!$N$5:$N$79,MATCH(B495,Fleet!$A$5:$A$79,0)),Assumptions!$B$7),Assumptions!$B$7))</f>
        <v/>
      </c>
      <c r="H495" s="34" t="str">
        <f aca="false">IF(OR(F495="",G495=""),"",F495*G495)</f>
        <v/>
      </c>
      <c r="I495" s="32"/>
      <c r="J495" s="32"/>
      <c r="K495" s="37"/>
      <c r="L495" s="38" t="str">
        <f aca="false">IF(C495="","",DATE(YEAR(C495),MONTH(C495),1))</f>
        <v/>
      </c>
      <c r="M495" s="34" t="str">
        <f aca="false">IF(F495="","",N(H495)+N(I495)-N(J495))</f>
        <v/>
      </c>
      <c r="N495" s="29"/>
    </row>
    <row r="496" customFormat="false" ht="15" hidden="false" customHeight="false" outlineLevel="0" collapsed="false">
      <c r="A496" s="29"/>
      <c r="B496" s="29"/>
      <c r="C496" s="31"/>
      <c r="D496" s="31"/>
      <c r="E496" s="35" t="str">
        <f aca="false">IF(OR(C496="",D496=""),"",MAX(1,D496-C496))</f>
        <v/>
      </c>
      <c r="F496" s="32"/>
      <c r="G496" s="36" t="str">
        <f aca="false">IF(B496="","",IFERROR(IF(N(INDEX(Fleet!$N$5:$N$79,MATCH(B496,Fleet!$A$5:$A$79,0)))&gt;0,INDEX(Fleet!$N$5:$N$79,MATCH(B496,Fleet!$A$5:$A$79,0)),Assumptions!$B$7),Assumptions!$B$7))</f>
        <v/>
      </c>
      <c r="H496" s="34" t="str">
        <f aca="false">IF(OR(F496="",G496=""),"",F496*G496)</f>
        <v/>
      </c>
      <c r="I496" s="32"/>
      <c r="J496" s="32"/>
      <c r="K496" s="37"/>
      <c r="L496" s="38" t="str">
        <f aca="false">IF(C496="","",DATE(YEAR(C496),MONTH(C496),1))</f>
        <v/>
      </c>
      <c r="M496" s="34" t="str">
        <f aca="false">IF(F496="","",N(H496)+N(I496)-N(J496))</f>
        <v/>
      </c>
      <c r="N496" s="29"/>
    </row>
    <row r="497" customFormat="false" ht="15" hidden="false" customHeight="false" outlineLevel="0" collapsed="false">
      <c r="A497" s="29"/>
      <c r="B497" s="29"/>
      <c r="C497" s="31"/>
      <c r="D497" s="31"/>
      <c r="E497" s="35" t="str">
        <f aca="false">IF(OR(C497="",D497=""),"",MAX(1,D497-C497))</f>
        <v/>
      </c>
      <c r="F497" s="32"/>
      <c r="G497" s="36" t="str">
        <f aca="false">IF(B497="","",IFERROR(IF(N(INDEX(Fleet!$N$5:$N$79,MATCH(B497,Fleet!$A$5:$A$79,0)))&gt;0,INDEX(Fleet!$N$5:$N$79,MATCH(B497,Fleet!$A$5:$A$79,0)),Assumptions!$B$7),Assumptions!$B$7))</f>
        <v/>
      </c>
      <c r="H497" s="34" t="str">
        <f aca="false">IF(OR(F497="",G497=""),"",F497*G497)</f>
        <v/>
      </c>
      <c r="I497" s="32"/>
      <c r="J497" s="32"/>
      <c r="K497" s="37"/>
      <c r="L497" s="38" t="str">
        <f aca="false">IF(C497="","",DATE(YEAR(C497),MONTH(C497),1))</f>
        <v/>
      </c>
      <c r="M497" s="34" t="str">
        <f aca="false">IF(F497="","",N(H497)+N(I497)-N(J497))</f>
        <v/>
      </c>
      <c r="N497" s="29"/>
    </row>
    <row r="498" customFormat="false" ht="15" hidden="false" customHeight="false" outlineLevel="0" collapsed="false">
      <c r="A498" s="29"/>
      <c r="B498" s="29"/>
      <c r="C498" s="31"/>
      <c r="D498" s="31"/>
      <c r="E498" s="35" t="str">
        <f aca="false">IF(OR(C498="",D498=""),"",MAX(1,D498-C498))</f>
        <v/>
      </c>
      <c r="F498" s="32"/>
      <c r="G498" s="36" t="str">
        <f aca="false">IF(B498="","",IFERROR(IF(N(INDEX(Fleet!$N$5:$N$79,MATCH(B498,Fleet!$A$5:$A$79,0)))&gt;0,INDEX(Fleet!$N$5:$N$79,MATCH(B498,Fleet!$A$5:$A$79,0)),Assumptions!$B$7),Assumptions!$B$7))</f>
        <v/>
      </c>
      <c r="H498" s="34" t="str">
        <f aca="false">IF(OR(F498="",G498=""),"",F498*G498)</f>
        <v/>
      </c>
      <c r="I498" s="32"/>
      <c r="J498" s="32"/>
      <c r="K498" s="37"/>
      <c r="L498" s="38" t="str">
        <f aca="false">IF(C498="","",DATE(YEAR(C498),MONTH(C498),1))</f>
        <v/>
      </c>
      <c r="M498" s="34" t="str">
        <f aca="false">IF(F498="","",N(H498)+N(I498)-N(J498))</f>
        <v/>
      </c>
      <c r="N498" s="29"/>
    </row>
    <row r="499" customFormat="false" ht="15" hidden="false" customHeight="false" outlineLevel="0" collapsed="false">
      <c r="A499" s="29"/>
      <c r="B499" s="29"/>
      <c r="C499" s="31"/>
      <c r="D499" s="31"/>
      <c r="E499" s="35" t="str">
        <f aca="false">IF(OR(C499="",D499=""),"",MAX(1,D499-C499))</f>
        <v/>
      </c>
      <c r="F499" s="32"/>
      <c r="G499" s="36" t="str">
        <f aca="false">IF(B499="","",IFERROR(IF(N(INDEX(Fleet!$N$5:$N$79,MATCH(B499,Fleet!$A$5:$A$79,0)))&gt;0,INDEX(Fleet!$N$5:$N$79,MATCH(B499,Fleet!$A$5:$A$79,0)),Assumptions!$B$7),Assumptions!$B$7))</f>
        <v/>
      </c>
      <c r="H499" s="34" t="str">
        <f aca="false">IF(OR(F499="",G499=""),"",F499*G499)</f>
        <v/>
      </c>
      <c r="I499" s="32"/>
      <c r="J499" s="32"/>
      <c r="K499" s="37"/>
      <c r="L499" s="38" t="str">
        <f aca="false">IF(C499="","",DATE(YEAR(C499),MONTH(C499),1))</f>
        <v/>
      </c>
      <c r="M499" s="34" t="str">
        <f aca="false">IF(F499="","",N(H499)+N(I499)-N(J499))</f>
        <v/>
      </c>
      <c r="N499" s="29"/>
    </row>
    <row r="500" customFormat="false" ht="15" hidden="false" customHeight="false" outlineLevel="0" collapsed="false">
      <c r="A500" s="29"/>
      <c r="B500" s="29"/>
      <c r="C500" s="31"/>
      <c r="D500" s="31"/>
      <c r="E500" s="35" t="str">
        <f aca="false">IF(OR(C500="",D500=""),"",MAX(1,D500-C500))</f>
        <v/>
      </c>
      <c r="F500" s="32"/>
      <c r="G500" s="36" t="str">
        <f aca="false">IF(B500="","",IFERROR(IF(N(INDEX(Fleet!$N$5:$N$79,MATCH(B500,Fleet!$A$5:$A$79,0)))&gt;0,INDEX(Fleet!$N$5:$N$79,MATCH(B500,Fleet!$A$5:$A$79,0)),Assumptions!$B$7),Assumptions!$B$7))</f>
        <v/>
      </c>
      <c r="H500" s="34" t="str">
        <f aca="false">IF(OR(F500="",G500=""),"",F500*G500)</f>
        <v/>
      </c>
      <c r="I500" s="32"/>
      <c r="J500" s="32"/>
      <c r="K500" s="37"/>
      <c r="L500" s="38" t="str">
        <f aca="false">IF(C500="","",DATE(YEAR(C500),MONTH(C500),1))</f>
        <v/>
      </c>
      <c r="M500" s="34" t="str">
        <f aca="false">IF(F500="","",N(H500)+N(I500)-N(J500))</f>
        <v/>
      </c>
      <c r="N500" s="29"/>
    </row>
    <row r="501" customFormat="false" ht="15" hidden="false" customHeight="false" outlineLevel="0" collapsed="false">
      <c r="A501" s="29"/>
      <c r="B501" s="29"/>
      <c r="C501" s="31"/>
      <c r="D501" s="31"/>
      <c r="E501" s="35" t="str">
        <f aca="false">IF(OR(C501="",D501=""),"",MAX(1,D501-C501))</f>
        <v/>
      </c>
      <c r="F501" s="32"/>
      <c r="G501" s="36" t="str">
        <f aca="false">IF(B501="","",IFERROR(IF(N(INDEX(Fleet!$N$5:$N$79,MATCH(B501,Fleet!$A$5:$A$79,0)))&gt;0,INDEX(Fleet!$N$5:$N$79,MATCH(B501,Fleet!$A$5:$A$79,0)),Assumptions!$B$7),Assumptions!$B$7))</f>
        <v/>
      </c>
      <c r="H501" s="34" t="str">
        <f aca="false">IF(OR(F501="",G501=""),"",F501*G501)</f>
        <v/>
      </c>
      <c r="I501" s="32"/>
      <c r="J501" s="32"/>
      <c r="K501" s="37"/>
      <c r="L501" s="38" t="str">
        <f aca="false">IF(C501="","",DATE(YEAR(C501),MONTH(C501),1))</f>
        <v/>
      </c>
      <c r="M501" s="34" t="str">
        <f aca="false">IF(F501="","",N(H501)+N(I501)-N(J501))</f>
        <v/>
      </c>
      <c r="N501" s="29"/>
    </row>
    <row r="502" customFormat="false" ht="15" hidden="false" customHeight="false" outlineLevel="0" collapsed="false">
      <c r="A502" s="29"/>
      <c r="B502" s="29"/>
      <c r="C502" s="31"/>
      <c r="D502" s="31"/>
      <c r="E502" s="35" t="str">
        <f aca="false">IF(OR(C502="",D502=""),"",MAX(1,D502-C502))</f>
        <v/>
      </c>
      <c r="F502" s="32"/>
      <c r="G502" s="36" t="str">
        <f aca="false">IF(B502="","",IFERROR(IF(N(INDEX(Fleet!$N$5:$N$79,MATCH(B502,Fleet!$A$5:$A$79,0)))&gt;0,INDEX(Fleet!$N$5:$N$79,MATCH(B502,Fleet!$A$5:$A$79,0)),Assumptions!$B$7),Assumptions!$B$7))</f>
        <v/>
      </c>
      <c r="H502" s="34" t="str">
        <f aca="false">IF(OR(F502="",G502=""),"",F502*G502)</f>
        <v/>
      </c>
      <c r="I502" s="32"/>
      <c r="J502" s="32"/>
      <c r="K502" s="37"/>
      <c r="L502" s="38" t="str">
        <f aca="false">IF(C502="","",DATE(YEAR(C502),MONTH(C502),1))</f>
        <v/>
      </c>
      <c r="M502" s="34" t="str">
        <f aca="false">IF(F502="","",N(H502)+N(I502)-N(J502))</f>
        <v/>
      </c>
      <c r="N502" s="29"/>
    </row>
    <row r="503" customFormat="false" ht="15" hidden="false" customHeight="false" outlineLevel="0" collapsed="false">
      <c r="A503" s="29"/>
      <c r="B503" s="29"/>
      <c r="C503" s="31"/>
      <c r="D503" s="31"/>
      <c r="E503" s="35" t="str">
        <f aca="false">IF(OR(C503="",D503=""),"",MAX(1,D503-C503))</f>
        <v/>
      </c>
      <c r="F503" s="32"/>
      <c r="G503" s="36" t="str">
        <f aca="false">IF(B503="","",IFERROR(IF(N(INDEX(Fleet!$N$5:$N$79,MATCH(B503,Fleet!$A$5:$A$79,0)))&gt;0,INDEX(Fleet!$N$5:$N$79,MATCH(B503,Fleet!$A$5:$A$79,0)),Assumptions!$B$7),Assumptions!$B$7))</f>
        <v/>
      </c>
      <c r="H503" s="34" t="str">
        <f aca="false">IF(OR(F503="",G503=""),"",F503*G503)</f>
        <v/>
      </c>
      <c r="I503" s="32"/>
      <c r="J503" s="32"/>
      <c r="K503" s="37"/>
      <c r="L503" s="38" t="str">
        <f aca="false">IF(C503="","",DATE(YEAR(C503),MONTH(C503),1))</f>
        <v/>
      </c>
      <c r="M503" s="34" t="str">
        <f aca="false">IF(F503="","",N(H503)+N(I503)-N(J503))</f>
        <v/>
      </c>
      <c r="N503" s="29"/>
    </row>
    <row r="504" customFormat="false" ht="15" hidden="false" customHeight="false" outlineLevel="0" collapsed="false">
      <c r="A504" s="29"/>
      <c r="B504" s="29"/>
      <c r="C504" s="31"/>
      <c r="D504" s="31"/>
      <c r="E504" s="35" t="str">
        <f aca="false">IF(OR(C504="",D504=""),"",MAX(1,D504-C504))</f>
        <v/>
      </c>
      <c r="F504" s="32"/>
      <c r="G504" s="36" t="str">
        <f aca="false">IF(B504="","",IFERROR(IF(N(INDEX(Fleet!$N$5:$N$79,MATCH(B504,Fleet!$A$5:$A$79,0)))&gt;0,INDEX(Fleet!$N$5:$N$79,MATCH(B504,Fleet!$A$5:$A$79,0)),Assumptions!$B$7),Assumptions!$B$7))</f>
        <v/>
      </c>
      <c r="H504" s="34" t="str">
        <f aca="false">IF(OR(F504="",G504=""),"",F504*G504)</f>
        <v/>
      </c>
      <c r="I504" s="32"/>
      <c r="J504" s="32"/>
      <c r="K504" s="37"/>
      <c r="L504" s="38" t="str">
        <f aca="false">IF(C504="","",DATE(YEAR(C504),MONTH(C504),1))</f>
        <v/>
      </c>
      <c r="M504" s="34" t="str">
        <f aca="false">IF(F504="","",N(H504)+N(I504)-N(J504))</f>
        <v/>
      </c>
      <c r="N504" s="29"/>
    </row>
    <row r="505" customFormat="false" ht="15" hidden="false" customHeight="false" outlineLevel="0" collapsed="false">
      <c r="A505" s="29"/>
      <c r="B505" s="29"/>
      <c r="C505" s="31"/>
      <c r="D505" s="31"/>
      <c r="E505" s="35" t="str">
        <f aca="false">IF(OR(C505="",D505=""),"",MAX(1,D505-C505))</f>
        <v/>
      </c>
      <c r="F505" s="32"/>
      <c r="G505" s="36" t="str">
        <f aca="false">IF(B505="","",IFERROR(IF(N(INDEX(Fleet!$N$5:$N$79,MATCH(B505,Fleet!$A$5:$A$79,0)))&gt;0,INDEX(Fleet!$N$5:$N$79,MATCH(B505,Fleet!$A$5:$A$79,0)),Assumptions!$B$7),Assumptions!$B$7))</f>
        <v/>
      </c>
      <c r="H505" s="34" t="str">
        <f aca="false">IF(OR(F505="",G505=""),"",F505*G505)</f>
        <v/>
      </c>
      <c r="I505" s="32"/>
      <c r="J505" s="32"/>
      <c r="K505" s="37"/>
      <c r="L505" s="38" t="str">
        <f aca="false">IF(C505="","",DATE(YEAR(C505),MONTH(C505),1))</f>
        <v/>
      </c>
      <c r="M505" s="34" t="str">
        <f aca="false">IF(F505="","",N(H505)+N(I505)-N(J505))</f>
        <v/>
      </c>
      <c r="N505" s="29"/>
    </row>
    <row r="506" customFormat="false" ht="15" hidden="false" customHeight="false" outlineLevel="0" collapsed="false">
      <c r="A506" s="29"/>
      <c r="B506" s="29"/>
      <c r="C506" s="31"/>
      <c r="D506" s="31"/>
      <c r="E506" s="35" t="str">
        <f aca="false">IF(OR(C506="",D506=""),"",MAX(1,D506-C506))</f>
        <v/>
      </c>
      <c r="F506" s="32"/>
      <c r="G506" s="36" t="str">
        <f aca="false">IF(B506="","",IFERROR(IF(N(INDEX(Fleet!$N$5:$N$79,MATCH(B506,Fleet!$A$5:$A$79,0)))&gt;0,INDEX(Fleet!$N$5:$N$79,MATCH(B506,Fleet!$A$5:$A$79,0)),Assumptions!$B$7),Assumptions!$B$7))</f>
        <v/>
      </c>
      <c r="H506" s="34" t="str">
        <f aca="false">IF(OR(F506="",G506=""),"",F506*G506)</f>
        <v/>
      </c>
      <c r="I506" s="32"/>
      <c r="J506" s="32"/>
      <c r="K506" s="37"/>
      <c r="L506" s="38" t="str">
        <f aca="false">IF(C506="","",DATE(YEAR(C506),MONTH(C506),1))</f>
        <v/>
      </c>
      <c r="M506" s="34" t="str">
        <f aca="false">IF(F506="","",N(H506)+N(I506)-N(J506))</f>
        <v/>
      </c>
      <c r="N506" s="29"/>
    </row>
    <row r="507" customFormat="false" ht="15" hidden="false" customHeight="false" outlineLevel="0" collapsed="false">
      <c r="A507" s="29"/>
      <c r="B507" s="29"/>
      <c r="C507" s="31"/>
      <c r="D507" s="31"/>
      <c r="E507" s="35" t="str">
        <f aca="false">IF(OR(C507="",D507=""),"",MAX(1,D507-C507))</f>
        <v/>
      </c>
      <c r="F507" s="32"/>
      <c r="G507" s="36" t="str">
        <f aca="false">IF(B507="","",IFERROR(IF(N(INDEX(Fleet!$N$5:$N$79,MATCH(B507,Fleet!$A$5:$A$79,0)))&gt;0,INDEX(Fleet!$N$5:$N$79,MATCH(B507,Fleet!$A$5:$A$79,0)),Assumptions!$B$7),Assumptions!$B$7))</f>
        <v/>
      </c>
      <c r="H507" s="34" t="str">
        <f aca="false">IF(OR(F507="",G507=""),"",F507*G507)</f>
        <v/>
      </c>
      <c r="I507" s="32"/>
      <c r="J507" s="32"/>
      <c r="K507" s="37"/>
      <c r="L507" s="38" t="str">
        <f aca="false">IF(C507="","",DATE(YEAR(C507),MONTH(C507),1))</f>
        <v/>
      </c>
      <c r="M507" s="34" t="str">
        <f aca="false">IF(F507="","",N(H507)+N(I507)-N(J507))</f>
        <v/>
      </c>
      <c r="N507" s="29"/>
    </row>
    <row r="508" customFormat="false" ht="15" hidden="false" customHeight="false" outlineLevel="0" collapsed="false">
      <c r="A508" s="29"/>
      <c r="B508" s="29"/>
      <c r="C508" s="31"/>
      <c r="D508" s="31"/>
      <c r="E508" s="35" t="str">
        <f aca="false">IF(OR(C508="",D508=""),"",MAX(1,D508-C508))</f>
        <v/>
      </c>
      <c r="F508" s="32"/>
      <c r="G508" s="36" t="str">
        <f aca="false">IF(B508="","",IFERROR(IF(N(INDEX(Fleet!$N$5:$N$79,MATCH(B508,Fleet!$A$5:$A$79,0)))&gt;0,INDEX(Fleet!$N$5:$N$79,MATCH(B508,Fleet!$A$5:$A$79,0)),Assumptions!$B$7),Assumptions!$B$7))</f>
        <v/>
      </c>
      <c r="H508" s="34" t="str">
        <f aca="false">IF(OR(F508="",G508=""),"",F508*G508)</f>
        <v/>
      </c>
      <c r="I508" s="32"/>
      <c r="J508" s="32"/>
      <c r="K508" s="37"/>
      <c r="L508" s="38" t="str">
        <f aca="false">IF(C508="","",DATE(YEAR(C508),MONTH(C508),1))</f>
        <v/>
      </c>
      <c r="M508" s="34" t="str">
        <f aca="false">IF(F508="","",N(H508)+N(I508)-N(J508))</f>
        <v/>
      </c>
      <c r="N508" s="29"/>
    </row>
    <row r="509" customFormat="false" ht="15" hidden="false" customHeight="false" outlineLevel="0" collapsed="false">
      <c r="A509" s="29"/>
      <c r="B509" s="29"/>
      <c r="C509" s="31"/>
      <c r="D509" s="31"/>
      <c r="E509" s="35" t="str">
        <f aca="false">IF(OR(C509="",D509=""),"",MAX(1,D509-C509))</f>
        <v/>
      </c>
      <c r="F509" s="32"/>
      <c r="G509" s="36" t="str">
        <f aca="false">IF(B509="","",IFERROR(IF(N(INDEX(Fleet!$N$5:$N$79,MATCH(B509,Fleet!$A$5:$A$79,0)))&gt;0,INDEX(Fleet!$N$5:$N$79,MATCH(B509,Fleet!$A$5:$A$79,0)),Assumptions!$B$7),Assumptions!$B$7))</f>
        <v/>
      </c>
      <c r="H509" s="34" t="str">
        <f aca="false">IF(OR(F509="",G509=""),"",F509*G509)</f>
        <v/>
      </c>
      <c r="I509" s="32"/>
      <c r="J509" s="32"/>
      <c r="K509" s="37"/>
      <c r="L509" s="38" t="str">
        <f aca="false">IF(C509="","",DATE(YEAR(C509),MONTH(C509),1))</f>
        <v/>
      </c>
      <c r="M509" s="34" t="str">
        <f aca="false">IF(F509="","",N(H509)+N(I509)-N(J509))</f>
        <v/>
      </c>
      <c r="N509" s="29"/>
    </row>
    <row r="510" customFormat="false" ht="15" hidden="false" customHeight="false" outlineLevel="0" collapsed="false">
      <c r="A510" s="29"/>
      <c r="B510" s="29"/>
      <c r="C510" s="31"/>
      <c r="D510" s="31"/>
      <c r="E510" s="35" t="str">
        <f aca="false">IF(OR(C510="",D510=""),"",MAX(1,D510-C510))</f>
        <v/>
      </c>
      <c r="F510" s="32"/>
      <c r="G510" s="36" t="str">
        <f aca="false">IF(B510="","",IFERROR(IF(N(INDEX(Fleet!$N$5:$N$79,MATCH(B510,Fleet!$A$5:$A$79,0)))&gt;0,INDEX(Fleet!$N$5:$N$79,MATCH(B510,Fleet!$A$5:$A$79,0)),Assumptions!$B$7),Assumptions!$B$7))</f>
        <v/>
      </c>
      <c r="H510" s="34" t="str">
        <f aca="false">IF(OR(F510="",G510=""),"",F510*G510)</f>
        <v/>
      </c>
      <c r="I510" s="32"/>
      <c r="J510" s="32"/>
      <c r="K510" s="37"/>
      <c r="L510" s="38" t="str">
        <f aca="false">IF(C510="","",DATE(YEAR(C510),MONTH(C510),1))</f>
        <v/>
      </c>
      <c r="M510" s="34" t="str">
        <f aca="false">IF(F510="","",N(H510)+N(I510)-N(J510))</f>
        <v/>
      </c>
      <c r="N510" s="29"/>
    </row>
    <row r="511" customFormat="false" ht="15" hidden="false" customHeight="false" outlineLevel="0" collapsed="false">
      <c r="A511" s="29"/>
      <c r="B511" s="29"/>
      <c r="C511" s="31"/>
      <c r="D511" s="31"/>
      <c r="E511" s="35" t="str">
        <f aca="false">IF(OR(C511="",D511=""),"",MAX(1,D511-C511))</f>
        <v/>
      </c>
      <c r="F511" s="32"/>
      <c r="G511" s="36" t="str">
        <f aca="false">IF(B511="","",IFERROR(IF(N(INDEX(Fleet!$N$5:$N$79,MATCH(B511,Fleet!$A$5:$A$79,0)))&gt;0,INDEX(Fleet!$N$5:$N$79,MATCH(B511,Fleet!$A$5:$A$79,0)),Assumptions!$B$7),Assumptions!$B$7))</f>
        <v/>
      </c>
      <c r="H511" s="34" t="str">
        <f aca="false">IF(OR(F511="",G511=""),"",F511*G511)</f>
        <v/>
      </c>
      <c r="I511" s="32"/>
      <c r="J511" s="32"/>
      <c r="K511" s="37"/>
      <c r="L511" s="38" t="str">
        <f aca="false">IF(C511="","",DATE(YEAR(C511),MONTH(C511),1))</f>
        <v/>
      </c>
      <c r="M511" s="34" t="str">
        <f aca="false">IF(F511="","",N(H511)+N(I511)-N(J511))</f>
        <v/>
      </c>
      <c r="N511" s="29"/>
    </row>
    <row r="512" customFormat="false" ht="15" hidden="false" customHeight="false" outlineLevel="0" collapsed="false">
      <c r="A512" s="29"/>
      <c r="B512" s="29"/>
      <c r="C512" s="31"/>
      <c r="D512" s="31"/>
      <c r="E512" s="35" t="str">
        <f aca="false">IF(OR(C512="",D512=""),"",MAX(1,D512-C512))</f>
        <v/>
      </c>
      <c r="F512" s="32"/>
      <c r="G512" s="36" t="str">
        <f aca="false">IF(B512="","",IFERROR(IF(N(INDEX(Fleet!$N$5:$N$79,MATCH(B512,Fleet!$A$5:$A$79,0)))&gt;0,INDEX(Fleet!$N$5:$N$79,MATCH(B512,Fleet!$A$5:$A$79,0)),Assumptions!$B$7),Assumptions!$B$7))</f>
        <v/>
      </c>
      <c r="H512" s="34" t="str">
        <f aca="false">IF(OR(F512="",G512=""),"",F512*G512)</f>
        <v/>
      </c>
      <c r="I512" s="32"/>
      <c r="J512" s="32"/>
      <c r="K512" s="37"/>
      <c r="L512" s="38" t="str">
        <f aca="false">IF(C512="","",DATE(YEAR(C512),MONTH(C512),1))</f>
        <v/>
      </c>
      <c r="M512" s="34" t="str">
        <f aca="false">IF(F512="","",N(H512)+N(I512)-N(J512))</f>
        <v/>
      </c>
      <c r="N512" s="29"/>
    </row>
    <row r="513" customFormat="false" ht="15" hidden="false" customHeight="false" outlineLevel="0" collapsed="false">
      <c r="A513" s="29"/>
      <c r="B513" s="29"/>
      <c r="C513" s="31"/>
      <c r="D513" s="31"/>
      <c r="E513" s="35" t="str">
        <f aca="false">IF(OR(C513="",D513=""),"",MAX(1,D513-C513))</f>
        <v/>
      </c>
      <c r="F513" s="32"/>
      <c r="G513" s="36" t="str">
        <f aca="false">IF(B513="","",IFERROR(IF(N(INDEX(Fleet!$N$5:$N$79,MATCH(B513,Fleet!$A$5:$A$79,0)))&gt;0,INDEX(Fleet!$N$5:$N$79,MATCH(B513,Fleet!$A$5:$A$79,0)),Assumptions!$B$7),Assumptions!$B$7))</f>
        <v/>
      </c>
      <c r="H513" s="34" t="str">
        <f aca="false">IF(OR(F513="",G513=""),"",F513*G513)</f>
        <v/>
      </c>
      <c r="I513" s="32"/>
      <c r="J513" s="32"/>
      <c r="K513" s="37"/>
      <c r="L513" s="38" t="str">
        <f aca="false">IF(C513="","",DATE(YEAR(C513),MONTH(C513),1))</f>
        <v/>
      </c>
      <c r="M513" s="34" t="str">
        <f aca="false">IF(F513="","",N(H513)+N(I513)-N(J513))</f>
        <v/>
      </c>
      <c r="N513" s="29"/>
    </row>
    <row r="514" customFormat="false" ht="15" hidden="false" customHeight="false" outlineLevel="0" collapsed="false">
      <c r="A514" s="29"/>
      <c r="B514" s="29"/>
      <c r="C514" s="31"/>
      <c r="D514" s="31"/>
      <c r="E514" s="35" t="str">
        <f aca="false">IF(OR(C514="",D514=""),"",MAX(1,D514-C514))</f>
        <v/>
      </c>
      <c r="F514" s="32"/>
      <c r="G514" s="36" t="str">
        <f aca="false">IF(B514="","",IFERROR(IF(N(INDEX(Fleet!$N$5:$N$79,MATCH(B514,Fleet!$A$5:$A$79,0)))&gt;0,INDEX(Fleet!$N$5:$N$79,MATCH(B514,Fleet!$A$5:$A$79,0)),Assumptions!$B$7),Assumptions!$B$7))</f>
        <v/>
      </c>
      <c r="H514" s="34" t="str">
        <f aca="false">IF(OR(F514="",G514=""),"",F514*G514)</f>
        <v/>
      </c>
      <c r="I514" s="32"/>
      <c r="J514" s="32"/>
      <c r="K514" s="37"/>
      <c r="L514" s="38" t="str">
        <f aca="false">IF(C514="","",DATE(YEAR(C514),MONTH(C514),1))</f>
        <v/>
      </c>
      <c r="M514" s="34" t="str">
        <f aca="false">IF(F514="","",N(H514)+N(I514)-N(J514))</f>
        <v/>
      </c>
      <c r="N514" s="29"/>
    </row>
    <row r="515" customFormat="false" ht="15" hidden="false" customHeight="false" outlineLevel="0" collapsed="false">
      <c r="A515" s="29"/>
      <c r="B515" s="29"/>
      <c r="C515" s="31"/>
      <c r="D515" s="31"/>
      <c r="E515" s="35" t="str">
        <f aca="false">IF(OR(C515="",D515=""),"",MAX(1,D515-C515))</f>
        <v/>
      </c>
      <c r="F515" s="32"/>
      <c r="G515" s="36" t="str">
        <f aca="false">IF(B515="","",IFERROR(IF(N(INDEX(Fleet!$N$5:$N$79,MATCH(B515,Fleet!$A$5:$A$79,0)))&gt;0,INDEX(Fleet!$N$5:$N$79,MATCH(B515,Fleet!$A$5:$A$79,0)),Assumptions!$B$7),Assumptions!$B$7))</f>
        <v/>
      </c>
      <c r="H515" s="34" t="str">
        <f aca="false">IF(OR(F515="",G515=""),"",F515*G515)</f>
        <v/>
      </c>
      <c r="I515" s="32"/>
      <c r="J515" s="32"/>
      <c r="K515" s="37"/>
      <c r="L515" s="38" t="str">
        <f aca="false">IF(C515="","",DATE(YEAR(C515),MONTH(C515),1))</f>
        <v/>
      </c>
      <c r="M515" s="34" t="str">
        <f aca="false">IF(F515="","",N(H515)+N(I515)-N(J515))</f>
        <v/>
      </c>
      <c r="N515" s="29"/>
    </row>
    <row r="516" customFormat="false" ht="15" hidden="false" customHeight="false" outlineLevel="0" collapsed="false">
      <c r="A516" s="29"/>
      <c r="B516" s="29"/>
      <c r="C516" s="31"/>
      <c r="D516" s="31"/>
      <c r="E516" s="35" t="str">
        <f aca="false">IF(OR(C516="",D516=""),"",MAX(1,D516-C516))</f>
        <v/>
      </c>
      <c r="F516" s="32"/>
      <c r="G516" s="36" t="str">
        <f aca="false">IF(B516="","",IFERROR(IF(N(INDEX(Fleet!$N$5:$N$79,MATCH(B516,Fleet!$A$5:$A$79,0)))&gt;0,INDEX(Fleet!$N$5:$N$79,MATCH(B516,Fleet!$A$5:$A$79,0)),Assumptions!$B$7),Assumptions!$B$7))</f>
        <v/>
      </c>
      <c r="H516" s="34" t="str">
        <f aca="false">IF(OR(F516="",G516=""),"",F516*G516)</f>
        <v/>
      </c>
      <c r="I516" s="32"/>
      <c r="J516" s="32"/>
      <c r="K516" s="37"/>
      <c r="L516" s="38" t="str">
        <f aca="false">IF(C516="","",DATE(YEAR(C516),MONTH(C516),1))</f>
        <v/>
      </c>
      <c r="M516" s="34" t="str">
        <f aca="false">IF(F516="","",N(H516)+N(I516)-N(J516))</f>
        <v/>
      </c>
      <c r="N516" s="29"/>
    </row>
    <row r="517" customFormat="false" ht="15" hidden="false" customHeight="false" outlineLevel="0" collapsed="false">
      <c r="A517" s="29"/>
      <c r="B517" s="29"/>
      <c r="C517" s="31"/>
      <c r="D517" s="31"/>
      <c r="E517" s="35" t="str">
        <f aca="false">IF(OR(C517="",D517=""),"",MAX(1,D517-C517))</f>
        <v/>
      </c>
      <c r="F517" s="32"/>
      <c r="G517" s="36" t="str">
        <f aca="false">IF(B517="","",IFERROR(IF(N(INDEX(Fleet!$N$5:$N$79,MATCH(B517,Fleet!$A$5:$A$79,0)))&gt;0,INDEX(Fleet!$N$5:$N$79,MATCH(B517,Fleet!$A$5:$A$79,0)),Assumptions!$B$7),Assumptions!$B$7))</f>
        <v/>
      </c>
      <c r="H517" s="34" t="str">
        <f aca="false">IF(OR(F517="",G517=""),"",F517*G517)</f>
        <v/>
      </c>
      <c r="I517" s="32"/>
      <c r="J517" s="32"/>
      <c r="K517" s="37"/>
      <c r="L517" s="38" t="str">
        <f aca="false">IF(C517="","",DATE(YEAR(C517),MONTH(C517),1))</f>
        <v/>
      </c>
      <c r="M517" s="34" t="str">
        <f aca="false">IF(F517="","",N(H517)+N(I517)-N(J517))</f>
        <v/>
      </c>
      <c r="N517" s="29"/>
    </row>
    <row r="518" customFormat="false" ht="15" hidden="false" customHeight="false" outlineLevel="0" collapsed="false">
      <c r="A518" s="29"/>
      <c r="B518" s="29"/>
      <c r="C518" s="31"/>
      <c r="D518" s="31"/>
      <c r="E518" s="35" t="str">
        <f aca="false">IF(OR(C518="",D518=""),"",MAX(1,D518-C518))</f>
        <v/>
      </c>
      <c r="F518" s="32"/>
      <c r="G518" s="36" t="str">
        <f aca="false">IF(B518="","",IFERROR(IF(N(INDEX(Fleet!$N$5:$N$79,MATCH(B518,Fleet!$A$5:$A$79,0)))&gt;0,INDEX(Fleet!$N$5:$N$79,MATCH(B518,Fleet!$A$5:$A$79,0)),Assumptions!$B$7),Assumptions!$B$7))</f>
        <v/>
      </c>
      <c r="H518" s="34" t="str">
        <f aca="false">IF(OR(F518="",G518=""),"",F518*G518)</f>
        <v/>
      </c>
      <c r="I518" s="32"/>
      <c r="J518" s="32"/>
      <c r="K518" s="37"/>
      <c r="L518" s="38" t="str">
        <f aca="false">IF(C518="","",DATE(YEAR(C518),MONTH(C518),1))</f>
        <v/>
      </c>
      <c r="M518" s="34" t="str">
        <f aca="false">IF(F518="","",N(H518)+N(I518)-N(J518))</f>
        <v/>
      </c>
      <c r="N518" s="29"/>
    </row>
    <row r="519" customFormat="false" ht="15" hidden="false" customHeight="false" outlineLevel="0" collapsed="false">
      <c r="A519" s="29"/>
      <c r="B519" s="29"/>
      <c r="C519" s="31"/>
      <c r="D519" s="31"/>
      <c r="E519" s="35" t="str">
        <f aca="false">IF(OR(C519="",D519=""),"",MAX(1,D519-C519))</f>
        <v/>
      </c>
      <c r="F519" s="32"/>
      <c r="G519" s="36" t="str">
        <f aca="false">IF(B519="","",IFERROR(IF(N(INDEX(Fleet!$N$5:$N$79,MATCH(B519,Fleet!$A$5:$A$79,0)))&gt;0,INDEX(Fleet!$N$5:$N$79,MATCH(B519,Fleet!$A$5:$A$79,0)),Assumptions!$B$7),Assumptions!$B$7))</f>
        <v/>
      </c>
      <c r="H519" s="34" t="str">
        <f aca="false">IF(OR(F519="",G519=""),"",F519*G519)</f>
        <v/>
      </c>
      <c r="I519" s="32"/>
      <c r="J519" s="32"/>
      <c r="K519" s="37"/>
      <c r="L519" s="38" t="str">
        <f aca="false">IF(C519="","",DATE(YEAR(C519),MONTH(C519),1))</f>
        <v/>
      </c>
      <c r="M519" s="34" t="str">
        <f aca="false">IF(F519="","",N(H519)+N(I519)-N(J519))</f>
        <v/>
      </c>
      <c r="N519" s="29"/>
    </row>
    <row r="520" customFormat="false" ht="15" hidden="false" customHeight="false" outlineLevel="0" collapsed="false">
      <c r="A520" s="29"/>
      <c r="B520" s="29"/>
      <c r="C520" s="31"/>
      <c r="D520" s="31"/>
      <c r="E520" s="35" t="str">
        <f aca="false">IF(OR(C520="",D520=""),"",MAX(1,D520-C520))</f>
        <v/>
      </c>
      <c r="F520" s="32"/>
      <c r="G520" s="36" t="str">
        <f aca="false">IF(B520="","",IFERROR(IF(N(INDEX(Fleet!$N$5:$N$79,MATCH(B520,Fleet!$A$5:$A$79,0)))&gt;0,INDEX(Fleet!$N$5:$N$79,MATCH(B520,Fleet!$A$5:$A$79,0)),Assumptions!$B$7),Assumptions!$B$7))</f>
        <v/>
      </c>
      <c r="H520" s="34" t="str">
        <f aca="false">IF(OR(F520="",G520=""),"",F520*G520)</f>
        <v/>
      </c>
      <c r="I520" s="32"/>
      <c r="J520" s="32"/>
      <c r="K520" s="37"/>
      <c r="L520" s="38" t="str">
        <f aca="false">IF(C520="","",DATE(YEAR(C520),MONTH(C520),1))</f>
        <v/>
      </c>
      <c r="M520" s="34" t="str">
        <f aca="false">IF(F520="","",N(H520)+N(I520)-N(J520))</f>
        <v/>
      </c>
      <c r="N520" s="29"/>
    </row>
    <row r="521" customFormat="false" ht="15" hidden="false" customHeight="false" outlineLevel="0" collapsed="false">
      <c r="A521" s="29"/>
      <c r="B521" s="29"/>
      <c r="C521" s="31"/>
      <c r="D521" s="31"/>
      <c r="E521" s="35" t="str">
        <f aca="false">IF(OR(C521="",D521=""),"",MAX(1,D521-C521))</f>
        <v/>
      </c>
      <c r="F521" s="32"/>
      <c r="G521" s="36" t="str">
        <f aca="false">IF(B521="","",IFERROR(IF(N(INDEX(Fleet!$N$5:$N$79,MATCH(B521,Fleet!$A$5:$A$79,0)))&gt;0,INDEX(Fleet!$N$5:$N$79,MATCH(B521,Fleet!$A$5:$A$79,0)),Assumptions!$B$7),Assumptions!$B$7))</f>
        <v/>
      </c>
      <c r="H521" s="34" t="str">
        <f aca="false">IF(OR(F521="",G521=""),"",F521*G521)</f>
        <v/>
      </c>
      <c r="I521" s="32"/>
      <c r="J521" s="32"/>
      <c r="K521" s="37"/>
      <c r="L521" s="38" t="str">
        <f aca="false">IF(C521="","",DATE(YEAR(C521),MONTH(C521),1))</f>
        <v/>
      </c>
      <c r="M521" s="34" t="str">
        <f aca="false">IF(F521="","",N(H521)+N(I521)-N(J521))</f>
        <v/>
      </c>
      <c r="N521" s="29"/>
    </row>
    <row r="522" customFormat="false" ht="15" hidden="false" customHeight="false" outlineLevel="0" collapsed="false">
      <c r="A522" s="29"/>
      <c r="B522" s="29"/>
      <c r="C522" s="31"/>
      <c r="D522" s="31"/>
      <c r="E522" s="35" t="str">
        <f aca="false">IF(OR(C522="",D522=""),"",MAX(1,D522-C522))</f>
        <v/>
      </c>
      <c r="F522" s="32"/>
      <c r="G522" s="36" t="str">
        <f aca="false">IF(B522="","",IFERROR(IF(N(INDEX(Fleet!$N$5:$N$79,MATCH(B522,Fleet!$A$5:$A$79,0)))&gt;0,INDEX(Fleet!$N$5:$N$79,MATCH(B522,Fleet!$A$5:$A$79,0)),Assumptions!$B$7),Assumptions!$B$7))</f>
        <v/>
      </c>
      <c r="H522" s="34" t="str">
        <f aca="false">IF(OR(F522="",G522=""),"",F522*G522)</f>
        <v/>
      </c>
      <c r="I522" s="32"/>
      <c r="J522" s="32"/>
      <c r="K522" s="37"/>
      <c r="L522" s="38" t="str">
        <f aca="false">IF(C522="","",DATE(YEAR(C522),MONTH(C522),1))</f>
        <v/>
      </c>
      <c r="M522" s="34" t="str">
        <f aca="false">IF(F522="","",N(H522)+N(I522)-N(J522))</f>
        <v/>
      </c>
      <c r="N522" s="29"/>
    </row>
    <row r="523" customFormat="false" ht="15" hidden="false" customHeight="false" outlineLevel="0" collapsed="false">
      <c r="A523" s="29"/>
      <c r="B523" s="29"/>
      <c r="C523" s="31"/>
      <c r="D523" s="31"/>
      <c r="E523" s="35" t="str">
        <f aca="false">IF(OR(C523="",D523=""),"",MAX(1,D523-C523))</f>
        <v/>
      </c>
      <c r="F523" s="32"/>
      <c r="G523" s="36" t="str">
        <f aca="false">IF(B523="","",IFERROR(IF(N(INDEX(Fleet!$N$5:$N$79,MATCH(B523,Fleet!$A$5:$A$79,0)))&gt;0,INDEX(Fleet!$N$5:$N$79,MATCH(B523,Fleet!$A$5:$A$79,0)),Assumptions!$B$7),Assumptions!$B$7))</f>
        <v/>
      </c>
      <c r="H523" s="34" t="str">
        <f aca="false">IF(OR(F523="",G523=""),"",F523*G523)</f>
        <v/>
      </c>
      <c r="I523" s="32"/>
      <c r="J523" s="32"/>
      <c r="K523" s="37"/>
      <c r="L523" s="38" t="str">
        <f aca="false">IF(C523="","",DATE(YEAR(C523),MONTH(C523),1))</f>
        <v/>
      </c>
      <c r="M523" s="34" t="str">
        <f aca="false">IF(F523="","",N(H523)+N(I523)-N(J523))</f>
        <v/>
      </c>
      <c r="N523" s="29"/>
    </row>
    <row r="524" customFormat="false" ht="15" hidden="false" customHeight="false" outlineLevel="0" collapsed="false">
      <c r="A524" s="29"/>
      <c r="B524" s="29"/>
      <c r="C524" s="31"/>
      <c r="D524" s="31"/>
      <c r="E524" s="35" t="str">
        <f aca="false">IF(OR(C524="",D524=""),"",MAX(1,D524-C524))</f>
        <v/>
      </c>
      <c r="F524" s="32"/>
      <c r="G524" s="36" t="str">
        <f aca="false">IF(B524="","",IFERROR(IF(N(INDEX(Fleet!$N$5:$N$79,MATCH(B524,Fleet!$A$5:$A$79,0)))&gt;0,INDEX(Fleet!$N$5:$N$79,MATCH(B524,Fleet!$A$5:$A$79,0)),Assumptions!$B$7),Assumptions!$B$7))</f>
        <v/>
      </c>
      <c r="H524" s="34" t="str">
        <f aca="false">IF(OR(F524="",G524=""),"",F524*G524)</f>
        <v/>
      </c>
      <c r="I524" s="32"/>
      <c r="J524" s="32"/>
      <c r="K524" s="37"/>
      <c r="L524" s="38" t="str">
        <f aca="false">IF(C524="","",DATE(YEAR(C524),MONTH(C524),1))</f>
        <v/>
      </c>
      <c r="M524" s="34" t="str">
        <f aca="false">IF(F524="","",N(H524)+N(I524)-N(J524))</f>
        <v/>
      </c>
      <c r="N524" s="29"/>
    </row>
    <row r="525" customFormat="false" ht="15" hidden="false" customHeight="false" outlineLevel="0" collapsed="false">
      <c r="A525" s="29"/>
      <c r="B525" s="29"/>
      <c r="C525" s="31"/>
      <c r="D525" s="31"/>
      <c r="E525" s="35" t="str">
        <f aca="false">IF(OR(C525="",D525=""),"",MAX(1,D525-C525))</f>
        <v/>
      </c>
      <c r="F525" s="32"/>
      <c r="G525" s="36" t="str">
        <f aca="false">IF(B525="","",IFERROR(IF(N(INDEX(Fleet!$N$5:$N$79,MATCH(B525,Fleet!$A$5:$A$79,0)))&gt;0,INDEX(Fleet!$N$5:$N$79,MATCH(B525,Fleet!$A$5:$A$79,0)),Assumptions!$B$7),Assumptions!$B$7))</f>
        <v/>
      </c>
      <c r="H525" s="34" t="str">
        <f aca="false">IF(OR(F525="",G525=""),"",F525*G525)</f>
        <v/>
      </c>
      <c r="I525" s="32"/>
      <c r="J525" s="32"/>
      <c r="K525" s="37"/>
      <c r="L525" s="38" t="str">
        <f aca="false">IF(C525="","",DATE(YEAR(C525),MONTH(C525),1))</f>
        <v/>
      </c>
      <c r="M525" s="34" t="str">
        <f aca="false">IF(F525="","",N(H525)+N(I525)-N(J525))</f>
        <v/>
      </c>
      <c r="N525" s="29"/>
    </row>
    <row r="526" customFormat="false" ht="15" hidden="false" customHeight="false" outlineLevel="0" collapsed="false">
      <c r="A526" s="29"/>
      <c r="B526" s="29"/>
      <c r="C526" s="31"/>
      <c r="D526" s="31"/>
      <c r="E526" s="35" t="str">
        <f aca="false">IF(OR(C526="",D526=""),"",MAX(1,D526-C526))</f>
        <v/>
      </c>
      <c r="F526" s="32"/>
      <c r="G526" s="36" t="str">
        <f aca="false">IF(B526="","",IFERROR(IF(N(INDEX(Fleet!$N$5:$N$79,MATCH(B526,Fleet!$A$5:$A$79,0)))&gt;0,INDEX(Fleet!$N$5:$N$79,MATCH(B526,Fleet!$A$5:$A$79,0)),Assumptions!$B$7),Assumptions!$B$7))</f>
        <v/>
      </c>
      <c r="H526" s="34" t="str">
        <f aca="false">IF(OR(F526="",G526=""),"",F526*G526)</f>
        <v/>
      </c>
      <c r="I526" s="32"/>
      <c r="J526" s="32"/>
      <c r="K526" s="37"/>
      <c r="L526" s="38" t="str">
        <f aca="false">IF(C526="","",DATE(YEAR(C526),MONTH(C526),1))</f>
        <v/>
      </c>
      <c r="M526" s="34" t="str">
        <f aca="false">IF(F526="","",N(H526)+N(I526)-N(J526))</f>
        <v/>
      </c>
      <c r="N526" s="29"/>
    </row>
    <row r="527" customFormat="false" ht="15" hidden="false" customHeight="false" outlineLevel="0" collapsed="false">
      <c r="A527" s="29"/>
      <c r="B527" s="29"/>
      <c r="C527" s="31"/>
      <c r="D527" s="31"/>
      <c r="E527" s="35" t="str">
        <f aca="false">IF(OR(C527="",D527=""),"",MAX(1,D527-C527))</f>
        <v/>
      </c>
      <c r="F527" s="32"/>
      <c r="G527" s="36" t="str">
        <f aca="false">IF(B527="","",IFERROR(IF(N(INDEX(Fleet!$N$5:$N$79,MATCH(B527,Fleet!$A$5:$A$79,0)))&gt;0,INDEX(Fleet!$N$5:$N$79,MATCH(B527,Fleet!$A$5:$A$79,0)),Assumptions!$B$7),Assumptions!$B$7))</f>
        <v/>
      </c>
      <c r="H527" s="34" t="str">
        <f aca="false">IF(OR(F527="",G527=""),"",F527*G527)</f>
        <v/>
      </c>
      <c r="I527" s="32"/>
      <c r="J527" s="32"/>
      <c r="K527" s="37"/>
      <c r="L527" s="38" t="str">
        <f aca="false">IF(C527="","",DATE(YEAR(C527),MONTH(C527),1))</f>
        <v/>
      </c>
      <c r="M527" s="34" t="str">
        <f aca="false">IF(F527="","",N(H527)+N(I527)-N(J527))</f>
        <v/>
      </c>
      <c r="N527" s="29"/>
    </row>
    <row r="528" customFormat="false" ht="15" hidden="false" customHeight="false" outlineLevel="0" collapsed="false">
      <c r="A528" s="29"/>
      <c r="B528" s="29"/>
      <c r="C528" s="31"/>
      <c r="D528" s="31"/>
      <c r="E528" s="35" t="str">
        <f aca="false">IF(OR(C528="",D528=""),"",MAX(1,D528-C528))</f>
        <v/>
      </c>
      <c r="F528" s="32"/>
      <c r="G528" s="36" t="str">
        <f aca="false">IF(B528="","",IFERROR(IF(N(INDEX(Fleet!$N$5:$N$79,MATCH(B528,Fleet!$A$5:$A$79,0)))&gt;0,INDEX(Fleet!$N$5:$N$79,MATCH(B528,Fleet!$A$5:$A$79,0)),Assumptions!$B$7),Assumptions!$B$7))</f>
        <v/>
      </c>
      <c r="H528" s="34" t="str">
        <f aca="false">IF(OR(F528="",G528=""),"",F528*G528)</f>
        <v/>
      </c>
      <c r="I528" s="32"/>
      <c r="J528" s="32"/>
      <c r="K528" s="37"/>
      <c r="L528" s="38" t="str">
        <f aca="false">IF(C528="","",DATE(YEAR(C528),MONTH(C528),1))</f>
        <v/>
      </c>
      <c r="M528" s="34" t="str">
        <f aca="false">IF(F528="","",N(H528)+N(I528)-N(J528))</f>
        <v/>
      </c>
      <c r="N528" s="29"/>
    </row>
    <row r="529" customFormat="false" ht="15" hidden="false" customHeight="false" outlineLevel="0" collapsed="false">
      <c r="A529" s="29"/>
      <c r="B529" s="29"/>
      <c r="C529" s="31"/>
      <c r="D529" s="31"/>
      <c r="E529" s="35" t="str">
        <f aca="false">IF(OR(C529="",D529=""),"",MAX(1,D529-C529))</f>
        <v/>
      </c>
      <c r="F529" s="32"/>
      <c r="G529" s="36" t="str">
        <f aca="false">IF(B529="","",IFERROR(IF(N(INDEX(Fleet!$N$5:$N$79,MATCH(B529,Fleet!$A$5:$A$79,0)))&gt;0,INDEX(Fleet!$N$5:$N$79,MATCH(B529,Fleet!$A$5:$A$79,0)),Assumptions!$B$7),Assumptions!$B$7))</f>
        <v/>
      </c>
      <c r="H529" s="34" t="str">
        <f aca="false">IF(OR(F529="",G529=""),"",F529*G529)</f>
        <v/>
      </c>
      <c r="I529" s="32"/>
      <c r="J529" s="32"/>
      <c r="K529" s="37"/>
      <c r="L529" s="38" t="str">
        <f aca="false">IF(C529="","",DATE(YEAR(C529),MONTH(C529),1))</f>
        <v/>
      </c>
      <c r="M529" s="34" t="str">
        <f aca="false">IF(F529="","",N(H529)+N(I529)-N(J529))</f>
        <v/>
      </c>
      <c r="N529" s="29"/>
    </row>
    <row r="530" customFormat="false" ht="15" hidden="false" customHeight="false" outlineLevel="0" collapsed="false">
      <c r="A530" s="29"/>
      <c r="B530" s="29"/>
      <c r="C530" s="31"/>
      <c r="D530" s="31"/>
      <c r="E530" s="35" t="str">
        <f aca="false">IF(OR(C530="",D530=""),"",MAX(1,D530-C530))</f>
        <v/>
      </c>
      <c r="F530" s="32"/>
      <c r="G530" s="36" t="str">
        <f aca="false">IF(B530="","",IFERROR(IF(N(INDEX(Fleet!$N$5:$N$79,MATCH(B530,Fleet!$A$5:$A$79,0)))&gt;0,INDEX(Fleet!$N$5:$N$79,MATCH(B530,Fleet!$A$5:$A$79,0)),Assumptions!$B$7),Assumptions!$B$7))</f>
        <v/>
      </c>
      <c r="H530" s="34" t="str">
        <f aca="false">IF(OR(F530="",G530=""),"",F530*G530)</f>
        <v/>
      </c>
      <c r="I530" s="32"/>
      <c r="J530" s="32"/>
      <c r="K530" s="37"/>
      <c r="L530" s="38" t="str">
        <f aca="false">IF(C530="","",DATE(YEAR(C530),MONTH(C530),1))</f>
        <v/>
      </c>
      <c r="M530" s="34" t="str">
        <f aca="false">IF(F530="","",N(H530)+N(I530)-N(J530))</f>
        <v/>
      </c>
      <c r="N530" s="29"/>
    </row>
    <row r="531" customFormat="false" ht="15" hidden="false" customHeight="false" outlineLevel="0" collapsed="false">
      <c r="A531" s="29"/>
      <c r="B531" s="29"/>
      <c r="C531" s="31"/>
      <c r="D531" s="31"/>
      <c r="E531" s="35" t="str">
        <f aca="false">IF(OR(C531="",D531=""),"",MAX(1,D531-C531))</f>
        <v/>
      </c>
      <c r="F531" s="32"/>
      <c r="G531" s="36" t="str">
        <f aca="false">IF(B531="","",IFERROR(IF(N(INDEX(Fleet!$N$5:$N$79,MATCH(B531,Fleet!$A$5:$A$79,0)))&gt;0,INDEX(Fleet!$N$5:$N$79,MATCH(B531,Fleet!$A$5:$A$79,0)),Assumptions!$B$7),Assumptions!$B$7))</f>
        <v/>
      </c>
      <c r="H531" s="34" t="str">
        <f aca="false">IF(OR(F531="",G531=""),"",F531*G531)</f>
        <v/>
      </c>
      <c r="I531" s="32"/>
      <c r="J531" s="32"/>
      <c r="K531" s="37"/>
      <c r="L531" s="38" t="str">
        <f aca="false">IF(C531="","",DATE(YEAR(C531),MONTH(C531),1))</f>
        <v/>
      </c>
      <c r="M531" s="34" t="str">
        <f aca="false">IF(F531="","",N(H531)+N(I531)-N(J531))</f>
        <v/>
      </c>
      <c r="N531" s="29"/>
    </row>
    <row r="532" customFormat="false" ht="15" hidden="false" customHeight="false" outlineLevel="0" collapsed="false">
      <c r="A532" s="29"/>
      <c r="B532" s="29"/>
      <c r="C532" s="31"/>
      <c r="D532" s="31"/>
      <c r="E532" s="35" t="str">
        <f aca="false">IF(OR(C532="",D532=""),"",MAX(1,D532-C532))</f>
        <v/>
      </c>
      <c r="F532" s="32"/>
      <c r="G532" s="36" t="str">
        <f aca="false">IF(B532="","",IFERROR(IF(N(INDEX(Fleet!$N$5:$N$79,MATCH(B532,Fleet!$A$5:$A$79,0)))&gt;0,INDEX(Fleet!$N$5:$N$79,MATCH(B532,Fleet!$A$5:$A$79,0)),Assumptions!$B$7),Assumptions!$B$7))</f>
        <v/>
      </c>
      <c r="H532" s="34" t="str">
        <f aca="false">IF(OR(F532="",G532=""),"",F532*G532)</f>
        <v/>
      </c>
      <c r="I532" s="32"/>
      <c r="J532" s="32"/>
      <c r="K532" s="37"/>
      <c r="L532" s="38" t="str">
        <f aca="false">IF(C532="","",DATE(YEAR(C532),MONTH(C532),1))</f>
        <v/>
      </c>
      <c r="M532" s="34" t="str">
        <f aca="false">IF(F532="","",N(H532)+N(I532)-N(J532))</f>
        <v/>
      </c>
      <c r="N532" s="29"/>
    </row>
    <row r="533" customFormat="false" ht="15" hidden="false" customHeight="false" outlineLevel="0" collapsed="false">
      <c r="A533" s="29"/>
      <c r="B533" s="29"/>
      <c r="C533" s="31"/>
      <c r="D533" s="31"/>
      <c r="E533" s="35" t="str">
        <f aca="false">IF(OR(C533="",D533=""),"",MAX(1,D533-C533))</f>
        <v/>
      </c>
      <c r="F533" s="32"/>
      <c r="G533" s="36" t="str">
        <f aca="false">IF(B533="","",IFERROR(IF(N(INDEX(Fleet!$N$5:$N$79,MATCH(B533,Fleet!$A$5:$A$79,0)))&gt;0,INDEX(Fleet!$N$5:$N$79,MATCH(B533,Fleet!$A$5:$A$79,0)),Assumptions!$B$7),Assumptions!$B$7))</f>
        <v/>
      </c>
      <c r="H533" s="34" t="str">
        <f aca="false">IF(OR(F533="",G533=""),"",F533*G533)</f>
        <v/>
      </c>
      <c r="I533" s="32"/>
      <c r="J533" s="32"/>
      <c r="K533" s="37"/>
      <c r="L533" s="38" t="str">
        <f aca="false">IF(C533="","",DATE(YEAR(C533),MONTH(C533),1))</f>
        <v/>
      </c>
      <c r="M533" s="34" t="str">
        <f aca="false">IF(F533="","",N(H533)+N(I533)-N(J533))</f>
        <v/>
      </c>
      <c r="N533" s="29"/>
    </row>
    <row r="534" customFormat="false" ht="15" hidden="false" customHeight="false" outlineLevel="0" collapsed="false">
      <c r="A534" s="29"/>
      <c r="B534" s="29"/>
      <c r="C534" s="31"/>
      <c r="D534" s="31"/>
      <c r="E534" s="35" t="str">
        <f aca="false">IF(OR(C534="",D534=""),"",MAX(1,D534-C534))</f>
        <v/>
      </c>
      <c r="F534" s="32"/>
      <c r="G534" s="36" t="str">
        <f aca="false">IF(B534="","",IFERROR(IF(N(INDEX(Fleet!$N$5:$N$79,MATCH(B534,Fleet!$A$5:$A$79,0)))&gt;0,INDEX(Fleet!$N$5:$N$79,MATCH(B534,Fleet!$A$5:$A$79,0)),Assumptions!$B$7),Assumptions!$B$7))</f>
        <v/>
      </c>
      <c r="H534" s="34" t="str">
        <f aca="false">IF(OR(F534="",G534=""),"",F534*G534)</f>
        <v/>
      </c>
      <c r="I534" s="32"/>
      <c r="J534" s="32"/>
      <c r="K534" s="37"/>
      <c r="L534" s="38" t="str">
        <f aca="false">IF(C534="","",DATE(YEAR(C534),MONTH(C534),1))</f>
        <v/>
      </c>
      <c r="M534" s="34" t="str">
        <f aca="false">IF(F534="","",N(H534)+N(I534)-N(J534))</f>
        <v/>
      </c>
      <c r="N534" s="29"/>
    </row>
    <row r="535" customFormat="false" ht="15" hidden="false" customHeight="false" outlineLevel="0" collapsed="false">
      <c r="A535" s="29"/>
      <c r="B535" s="29"/>
      <c r="C535" s="31"/>
      <c r="D535" s="31"/>
      <c r="E535" s="35" t="str">
        <f aca="false">IF(OR(C535="",D535=""),"",MAX(1,D535-C535))</f>
        <v/>
      </c>
      <c r="F535" s="32"/>
      <c r="G535" s="36" t="str">
        <f aca="false">IF(B535="","",IFERROR(IF(N(INDEX(Fleet!$N$5:$N$79,MATCH(B535,Fleet!$A$5:$A$79,0)))&gt;0,INDEX(Fleet!$N$5:$N$79,MATCH(B535,Fleet!$A$5:$A$79,0)),Assumptions!$B$7),Assumptions!$B$7))</f>
        <v/>
      </c>
      <c r="H535" s="34" t="str">
        <f aca="false">IF(OR(F535="",G535=""),"",F535*G535)</f>
        <v/>
      </c>
      <c r="I535" s="32"/>
      <c r="J535" s="32"/>
      <c r="K535" s="37"/>
      <c r="L535" s="38" t="str">
        <f aca="false">IF(C535="","",DATE(YEAR(C535),MONTH(C535),1))</f>
        <v/>
      </c>
      <c r="M535" s="34" t="str">
        <f aca="false">IF(F535="","",N(H535)+N(I535)-N(J535))</f>
        <v/>
      </c>
      <c r="N535" s="29"/>
    </row>
    <row r="536" customFormat="false" ht="15" hidden="false" customHeight="false" outlineLevel="0" collapsed="false">
      <c r="A536" s="29"/>
      <c r="B536" s="29"/>
      <c r="C536" s="31"/>
      <c r="D536" s="31"/>
      <c r="E536" s="35" t="str">
        <f aca="false">IF(OR(C536="",D536=""),"",MAX(1,D536-C536))</f>
        <v/>
      </c>
      <c r="F536" s="32"/>
      <c r="G536" s="36" t="str">
        <f aca="false">IF(B536="","",IFERROR(IF(N(INDEX(Fleet!$N$5:$N$79,MATCH(B536,Fleet!$A$5:$A$79,0)))&gt;0,INDEX(Fleet!$N$5:$N$79,MATCH(B536,Fleet!$A$5:$A$79,0)),Assumptions!$B$7),Assumptions!$B$7))</f>
        <v/>
      </c>
      <c r="H536" s="34" t="str">
        <f aca="false">IF(OR(F536="",G536=""),"",F536*G536)</f>
        <v/>
      </c>
      <c r="I536" s="32"/>
      <c r="J536" s="32"/>
      <c r="K536" s="37"/>
      <c r="L536" s="38" t="str">
        <f aca="false">IF(C536="","",DATE(YEAR(C536),MONTH(C536),1))</f>
        <v/>
      </c>
      <c r="M536" s="34" t="str">
        <f aca="false">IF(F536="","",N(H536)+N(I536)-N(J536))</f>
        <v/>
      </c>
      <c r="N536" s="29"/>
    </row>
    <row r="537" customFormat="false" ht="15" hidden="false" customHeight="false" outlineLevel="0" collapsed="false">
      <c r="A537" s="29"/>
      <c r="B537" s="29"/>
      <c r="C537" s="31"/>
      <c r="D537" s="31"/>
      <c r="E537" s="35" t="str">
        <f aca="false">IF(OR(C537="",D537=""),"",MAX(1,D537-C537))</f>
        <v/>
      </c>
      <c r="F537" s="32"/>
      <c r="G537" s="36" t="str">
        <f aca="false">IF(B537="","",IFERROR(IF(N(INDEX(Fleet!$N$5:$N$79,MATCH(B537,Fleet!$A$5:$A$79,0)))&gt;0,INDEX(Fleet!$N$5:$N$79,MATCH(B537,Fleet!$A$5:$A$79,0)),Assumptions!$B$7),Assumptions!$B$7))</f>
        <v/>
      </c>
      <c r="H537" s="34" t="str">
        <f aca="false">IF(OR(F537="",G537=""),"",F537*G537)</f>
        <v/>
      </c>
      <c r="I537" s="32"/>
      <c r="J537" s="32"/>
      <c r="K537" s="37"/>
      <c r="L537" s="38" t="str">
        <f aca="false">IF(C537="","",DATE(YEAR(C537),MONTH(C537),1))</f>
        <v/>
      </c>
      <c r="M537" s="34" t="str">
        <f aca="false">IF(F537="","",N(H537)+N(I537)-N(J537))</f>
        <v/>
      </c>
      <c r="N537" s="29"/>
    </row>
    <row r="538" customFormat="false" ht="15" hidden="false" customHeight="false" outlineLevel="0" collapsed="false">
      <c r="A538" s="29"/>
      <c r="B538" s="29"/>
      <c r="C538" s="31"/>
      <c r="D538" s="31"/>
      <c r="E538" s="35" t="str">
        <f aca="false">IF(OR(C538="",D538=""),"",MAX(1,D538-C538))</f>
        <v/>
      </c>
      <c r="F538" s="32"/>
      <c r="G538" s="36" t="str">
        <f aca="false">IF(B538="","",IFERROR(IF(N(INDEX(Fleet!$N$5:$N$79,MATCH(B538,Fleet!$A$5:$A$79,0)))&gt;0,INDEX(Fleet!$N$5:$N$79,MATCH(B538,Fleet!$A$5:$A$79,0)),Assumptions!$B$7),Assumptions!$B$7))</f>
        <v/>
      </c>
      <c r="H538" s="34" t="str">
        <f aca="false">IF(OR(F538="",G538=""),"",F538*G538)</f>
        <v/>
      </c>
      <c r="I538" s="32"/>
      <c r="J538" s="32"/>
      <c r="K538" s="37"/>
      <c r="L538" s="38" t="str">
        <f aca="false">IF(C538="","",DATE(YEAR(C538),MONTH(C538),1))</f>
        <v/>
      </c>
      <c r="M538" s="34" t="str">
        <f aca="false">IF(F538="","",N(H538)+N(I538)-N(J538))</f>
        <v/>
      </c>
      <c r="N538" s="29"/>
    </row>
    <row r="539" customFormat="false" ht="15" hidden="false" customHeight="false" outlineLevel="0" collapsed="false">
      <c r="A539" s="29"/>
      <c r="B539" s="29"/>
      <c r="C539" s="31"/>
      <c r="D539" s="31"/>
      <c r="E539" s="35" t="str">
        <f aca="false">IF(OR(C539="",D539=""),"",MAX(1,D539-C539))</f>
        <v/>
      </c>
      <c r="F539" s="32"/>
      <c r="G539" s="36" t="str">
        <f aca="false">IF(B539="","",IFERROR(IF(N(INDEX(Fleet!$N$5:$N$79,MATCH(B539,Fleet!$A$5:$A$79,0)))&gt;0,INDEX(Fleet!$N$5:$N$79,MATCH(B539,Fleet!$A$5:$A$79,0)),Assumptions!$B$7),Assumptions!$B$7))</f>
        <v/>
      </c>
      <c r="H539" s="34" t="str">
        <f aca="false">IF(OR(F539="",G539=""),"",F539*G539)</f>
        <v/>
      </c>
      <c r="I539" s="32"/>
      <c r="J539" s="32"/>
      <c r="K539" s="37"/>
      <c r="L539" s="38" t="str">
        <f aca="false">IF(C539="","",DATE(YEAR(C539),MONTH(C539),1))</f>
        <v/>
      </c>
      <c r="M539" s="34" t="str">
        <f aca="false">IF(F539="","",N(H539)+N(I539)-N(J539))</f>
        <v/>
      </c>
      <c r="N539" s="29"/>
    </row>
    <row r="540" customFormat="false" ht="15" hidden="false" customHeight="false" outlineLevel="0" collapsed="false">
      <c r="A540" s="29"/>
      <c r="B540" s="29"/>
      <c r="C540" s="31"/>
      <c r="D540" s="31"/>
      <c r="E540" s="35" t="str">
        <f aca="false">IF(OR(C540="",D540=""),"",MAX(1,D540-C540))</f>
        <v/>
      </c>
      <c r="F540" s="32"/>
      <c r="G540" s="36" t="str">
        <f aca="false">IF(B540="","",IFERROR(IF(N(INDEX(Fleet!$N$5:$N$79,MATCH(B540,Fleet!$A$5:$A$79,0)))&gt;0,INDEX(Fleet!$N$5:$N$79,MATCH(B540,Fleet!$A$5:$A$79,0)),Assumptions!$B$7),Assumptions!$B$7))</f>
        <v/>
      </c>
      <c r="H540" s="34" t="str">
        <f aca="false">IF(OR(F540="",G540=""),"",F540*G540)</f>
        <v/>
      </c>
      <c r="I540" s="32"/>
      <c r="J540" s="32"/>
      <c r="K540" s="37"/>
      <c r="L540" s="38" t="str">
        <f aca="false">IF(C540="","",DATE(YEAR(C540),MONTH(C540),1))</f>
        <v/>
      </c>
      <c r="M540" s="34" t="str">
        <f aca="false">IF(F540="","",N(H540)+N(I540)-N(J540))</f>
        <v/>
      </c>
      <c r="N540" s="29"/>
    </row>
    <row r="541" customFormat="false" ht="15" hidden="false" customHeight="false" outlineLevel="0" collapsed="false">
      <c r="A541" s="29"/>
      <c r="B541" s="29"/>
      <c r="C541" s="31"/>
      <c r="D541" s="31"/>
      <c r="E541" s="35" t="str">
        <f aca="false">IF(OR(C541="",D541=""),"",MAX(1,D541-C541))</f>
        <v/>
      </c>
      <c r="F541" s="32"/>
      <c r="G541" s="36" t="str">
        <f aca="false">IF(B541="","",IFERROR(IF(N(INDEX(Fleet!$N$5:$N$79,MATCH(B541,Fleet!$A$5:$A$79,0)))&gt;0,INDEX(Fleet!$N$5:$N$79,MATCH(B541,Fleet!$A$5:$A$79,0)),Assumptions!$B$7),Assumptions!$B$7))</f>
        <v/>
      </c>
      <c r="H541" s="34" t="str">
        <f aca="false">IF(OR(F541="",G541=""),"",F541*G541)</f>
        <v/>
      </c>
      <c r="I541" s="32"/>
      <c r="J541" s="32"/>
      <c r="K541" s="37"/>
      <c r="L541" s="38" t="str">
        <f aca="false">IF(C541="","",DATE(YEAR(C541),MONTH(C541),1))</f>
        <v/>
      </c>
      <c r="M541" s="34" t="str">
        <f aca="false">IF(F541="","",N(H541)+N(I541)-N(J541))</f>
        <v/>
      </c>
      <c r="N541" s="29"/>
    </row>
    <row r="542" customFormat="false" ht="15" hidden="false" customHeight="false" outlineLevel="0" collapsed="false">
      <c r="A542" s="29"/>
      <c r="B542" s="29"/>
      <c r="C542" s="31"/>
      <c r="D542" s="31"/>
      <c r="E542" s="35" t="str">
        <f aca="false">IF(OR(C542="",D542=""),"",MAX(1,D542-C542))</f>
        <v/>
      </c>
      <c r="F542" s="32"/>
      <c r="G542" s="36" t="str">
        <f aca="false">IF(B542="","",IFERROR(IF(N(INDEX(Fleet!$N$5:$N$79,MATCH(B542,Fleet!$A$5:$A$79,0)))&gt;0,INDEX(Fleet!$N$5:$N$79,MATCH(B542,Fleet!$A$5:$A$79,0)),Assumptions!$B$7),Assumptions!$B$7))</f>
        <v/>
      </c>
      <c r="H542" s="34" t="str">
        <f aca="false">IF(OR(F542="",G542=""),"",F542*G542)</f>
        <v/>
      </c>
      <c r="I542" s="32"/>
      <c r="J542" s="32"/>
      <c r="K542" s="37"/>
      <c r="L542" s="38" t="str">
        <f aca="false">IF(C542="","",DATE(YEAR(C542),MONTH(C542),1))</f>
        <v/>
      </c>
      <c r="M542" s="34" t="str">
        <f aca="false">IF(F542="","",N(H542)+N(I542)-N(J542))</f>
        <v/>
      </c>
      <c r="N542" s="29"/>
    </row>
    <row r="543" customFormat="false" ht="15" hidden="false" customHeight="false" outlineLevel="0" collapsed="false">
      <c r="A543" s="29"/>
      <c r="B543" s="29"/>
      <c r="C543" s="31"/>
      <c r="D543" s="31"/>
      <c r="E543" s="35" t="str">
        <f aca="false">IF(OR(C543="",D543=""),"",MAX(1,D543-C543))</f>
        <v/>
      </c>
      <c r="F543" s="32"/>
      <c r="G543" s="36" t="str">
        <f aca="false">IF(B543="","",IFERROR(IF(N(INDEX(Fleet!$N$5:$N$79,MATCH(B543,Fleet!$A$5:$A$79,0)))&gt;0,INDEX(Fleet!$N$5:$N$79,MATCH(B543,Fleet!$A$5:$A$79,0)),Assumptions!$B$7),Assumptions!$B$7))</f>
        <v/>
      </c>
      <c r="H543" s="34" t="str">
        <f aca="false">IF(OR(F543="",G543=""),"",F543*G543)</f>
        <v/>
      </c>
      <c r="I543" s="32"/>
      <c r="J543" s="32"/>
      <c r="K543" s="37"/>
      <c r="L543" s="38" t="str">
        <f aca="false">IF(C543="","",DATE(YEAR(C543),MONTH(C543),1))</f>
        <v/>
      </c>
      <c r="M543" s="34" t="str">
        <f aca="false">IF(F543="","",N(H543)+N(I543)-N(J543))</f>
        <v/>
      </c>
      <c r="N543" s="29"/>
    </row>
    <row r="544" customFormat="false" ht="15" hidden="false" customHeight="false" outlineLevel="0" collapsed="false">
      <c r="A544" s="29"/>
      <c r="B544" s="29"/>
      <c r="C544" s="31"/>
      <c r="D544" s="31"/>
      <c r="E544" s="35" t="str">
        <f aca="false">IF(OR(C544="",D544=""),"",MAX(1,D544-C544))</f>
        <v/>
      </c>
      <c r="F544" s="32"/>
      <c r="G544" s="36" t="str">
        <f aca="false">IF(B544="","",IFERROR(IF(N(INDEX(Fleet!$N$5:$N$79,MATCH(B544,Fleet!$A$5:$A$79,0)))&gt;0,INDEX(Fleet!$N$5:$N$79,MATCH(B544,Fleet!$A$5:$A$79,0)),Assumptions!$B$7),Assumptions!$B$7))</f>
        <v/>
      </c>
      <c r="H544" s="34" t="str">
        <f aca="false">IF(OR(F544="",G544=""),"",F544*G544)</f>
        <v/>
      </c>
      <c r="I544" s="32"/>
      <c r="J544" s="32"/>
      <c r="K544" s="37"/>
      <c r="L544" s="38" t="str">
        <f aca="false">IF(C544="","",DATE(YEAR(C544),MONTH(C544),1))</f>
        <v/>
      </c>
      <c r="M544" s="34" t="str">
        <f aca="false">IF(F544="","",N(H544)+N(I544)-N(J544))</f>
        <v/>
      </c>
      <c r="N544" s="29"/>
    </row>
    <row r="545" customFormat="false" ht="15" hidden="false" customHeight="false" outlineLevel="0" collapsed="false">
      <c r="A545" s="29"/>
      <c r="B545" s="29"/>
      <c r="C545" s="31"/>
      <c r="D545" s="31"/>
      <c r="E545" s="35" t="str">
        <f aca="false">IF(OR(C545="",D545=""),"",MAX(1,D545-C545))</f>
        <v/>
      </c>
      <c r="F545" s="32"/>
      <c r="G545" s="36" t="str">
        <f aca="false">IF(B545="","",IFERROR(IF(N(INDEX(Fleet!$N$5:$N$79,MATCH(B545,Fleet!$A$5:$A$79,0)))&gt;0,INDEX(Fleet!$N$5:$N$79,MATCH(B545,Fleet!$A$5:$A$79,0)),Assumptions!$B$7),Assumptions!$B$7))</f>
        <v/>
      </c>
      <c r="H545" s="34" t="str">
        <f aca="false">IF(OR(F545="",G545=""),"",F545*G545)</f>
        <v/>
      </c>
      <c r="I545" s="32"/>
      <c r="J545" s="32"/>
      <c r="K545" s="37"/>
      <c r="L545" s="38" t="str">
        <f aca="false">IF(C545="","",DATE(YEAR(C545),MONTH(C545),1))</f>
        <v/>
      </c>
      <c r="M545" s="34" t="str">
        <f aca="false">IF(F545="","",N(H545)+N(I545)-N(J545))</f>
        <v/>
      </c>
      <c r="N545" s="29"/>
    </row>
    <row r="546" customFormat="false" ht="15" hidden="false" customHeight="false" outlineLevel="0" collapsed="false">
      <c r="A546" s="29"/>
      <c r="B546" s="29"/>
      <c r="C546" s="31"/>
      <c r="D546" s="31"/>
      <c r="E546" s="35" t="str">
        <f aca="false">IF(OR(C546="",D546=""),"",MAX(1,D546-C546))</f>
        <v/>
      </c>
      <c r="F546" s="32"/>
      <c r="G546" s="36" t="str">
        <f aca="false">IF(B546="","",IFERROR(IF(N(INDEX(Fleet!$N$5:$N$79,MATCH(B546,Fleet!$A$5:$A$79,0)))&gt;0,INDEX(Fleet!$N$5:$N$79,MATCH(B546,Fleet!$A$5:$A$79,0)),Assumptions!$B$7),Assumptions!$B$7))</f>
        <v/>
      </c>
      <c r="H546" s="34" t="str">
        <f aca="false">IF(OR(F546="",G546=""),"",F546*G546)</f>
        <v/>
      </c>
      <c r="I546" s="32"/>
      <c r="J546" s="32"/>
      <c r="K546" s="37"/>
      <c r="L546" s="38" t="str">
        <f aca="false">IF(C546="","",DATE(YEAR(C546),MONTH(C546),1))</f>
        <v/>
      </c>
      <c r="M546" s="34" t="str">
        <f aca="false">IF(F546="","",N(H546)+N(I546)-N(J546))</f>
        <v/>
      </c>
      <c r="N546" s="29"/>
    </row>
    <row r="547" customFormat="false" ht="15" hidden="false" customHeight="false" outlineLevel="0" collapsed="false">
      <c r="A547" s="29"/>
      <c r="B547" s="29"/>
      <c r="C547" s="31"/>
      <c r="D547" s="31"/>
      <c r="E547" s="35" t="str">
        <f aca="false">IF(OR(C547="",D547=""),"",MAX(1,D547-C547))</f>
        <v/>
      </c>
      <c r="F547" s="32"/>
      <c r="G547" s="36" t="str">
        <f aca="false">IF(B547="","",IFERROR(IF(N(INDEX(Fleet!$N$5:$N$79,MATCH(B547,Fleet!$A$5:$A$79,0)))&gt;0,INDEX(Fleet!$N$5:$N$79,MATCH(B547,Fleet!$A$5:$A$79,0)),Assumptions!$B$7),Assumptions!$B$7))</f>
        <v/>
      </c>
      <c r="H547" s="34" t="str">
        <f aca="false">IF(OR(F547="",G547=""),"",F547*G547)</f>
        <v/>
      </c>
      <c r="I547" s="32"/>
      <c r="J547" s="32"/>
      <c r="K547" s="37"/>
      <c r="L547" s="38" t="str">
        <f aca="false">IF(C547="","",DATE(YEAR(C547),MONTH(C547),1))</f>
        <v/>
      </c>
      <c r="M547" s="34" t="str">
        <f aca="false">IF(F547="","",N(H547)+N(I547)-N(J547))</f>
        <v/>
      </c>
      <c r="N547" s="29"/>
    </row>
    <row r="548" customFormat="false" ht="15" hidden="false" customHeight="false" outlineLevel="0" collapsed="false">
      <c r="A548" s="29"/>
      <c r="B548" s="29"/>
      <c r="C548" s="31"/>
      <c r="D548" s="31"/>
      <c r="E548" s="35" t="str">
        <f aca="false">IF(OR(C548="",D548=""),"",MAX(1,D548-C548))</f>
        <v/>
      </c>
      <c r="F548" s="32"/>
      <c r="G548" s="36" t="str">
        <f aca="false">IF(B548="","",IFERROR(IF(N(INDEX(Fleet!$N$5:$N$79,MATCH(B548,Fleet!$A$5:$A$79,0)))&gt;0,INDEX(Fleet!$N$5:$N$79,MATCH(B548,Fleet!$A$5:$A$79,0)),Assumptions!$B$7),Assumptions!$B$7))</f>
        <v/>
      </c>
      <c r="H548" s="34" t="str">
        <f aca="false">IF(OR(F548="",G548=""),"",F548*G548)</f>
        <v/>
      </c>
      <c r="I548" s="32"/>
      <c r="J548" s="32"/>
      <c r="K548" s="37"/>
      <c r="L548" s="38" t="str">
        <f aca="false">IF(C548="","",DATE(YEAR(C548),MONTH(C548),1))</f>
        <v/>
      </c>
      <c r="M548" s="34" t="str">
        <f aca="false">IF(F548="","",N(H548)+N(I548)-N(J548))</f>
        <v/>
      </c>
      <c r="N548" s="29"/>
    </row>
    <row r="549" customFormat="false" ht="15" hidden="false" customHeight="false" outlineLevel="0" collapsed="false">
      <c r="A549" s="29"/>
      <c r="B549" s="29"/>
      <c r="C549" s="31"/>
      <c r="D549" s="31"/>
      <c r="E549" s="35" t="str">
        <f aca="false">IF(OR(C549="",D549=""),"",MAX(1,D549-C549))</f>
        <v/>
      </c>
      <c r="F549" s="32"/>
      <c r="G549" s="36" t="str">
        <f aca="false">IF(B549="","",IFERROR(IF(N(INDEX(Fleet!$N$5:$N$79,MATCH(B549,Fleet!$A$5:$A$79,0)))&gt;0,INDEX(Fleet!$N$5:$N$79,MATCH(B549,Fleet!$A$5:$A$79,0)),Assumptions!$B$7),Assumptions!$B$7))</f>
        <v/>
      </c>
      <c r="H549" s="34" t="str">
        <f aca="false">IF(OR(F549="",G549=""),"",F549*G549)</f>
        <v/>
      </c>
      <c r="I549" s="32"/>
      <c r="J549" s="32"/>
      <c r="K549" s="37"/>
      <c r="L549" s="38" t="str">
        <f aca="false">IF(C549="","",DATE(YEAR(C549),MONTH(C549),1))</f>
        <v/>
      </c>
      <c r="M549" s="34" t="str">
        <f aca="false">IF(F549="","",N(H549)+N(I549)-N(J549))</f>
        <v/>
      </c>
      <c r="N549" s="29"/>
    </row>
    <row r="550" customFormat="false" ht="15" hidden="false" customHeight="false" outlineLevel="0" collapsed="false">
      <c r="A550" s="29"/>
      <c r="B550" s="29"/>
      <c r="C550" s="31"/>
      <c r="D550" s="31"/>
      <c r="E550" s="35" t="str">
        <f aca="false">IF(OR(C550="",D550=""),"",MAX(1,D550-C550))</f>
        <v/>
      </c>
      <c r="F550" s="32"/>
      <c r="G550" s="36" t="str">
        <f aca="false">IF(B550="","",IFERROR(IF(N(INDEX(Fleet!$N$5:$N$79,MATCH(B550,Fleet!$A$5:$A$79,0)))&gt;0,INDEX(Fleet!$N$5:$N$79,MATCH(B550,Fleet!$A$5:$A$79,0)),Assumptions!$B$7),Assumptions!$B$7))</f>
        <v/>
      </c>
      <c r="H550" s="34" t="str">
        <f aca="false">IF(OR(F550="",G550=""),"",F550*G550)</f>
        <v/>
      </c>
      <c r="I550" s="32"/>
      <c r="J550" s="32"/>
      <c r="K550" s="37"/>
      <c r="L550" s="38" t="str">
        <f aca="false">IF(C550="","",DATE(YEAR(C550),MONTH(C550),1))</f>
        <v/>
      </c>
      <c r="M550" s="34" t="str">
        <f aca="false">IF(F550="","",N(H550)+N(I550)-N(J550))</f>
        <v/>
      </c>
      <c r="N550" s="29"/>
    </row>
    <row r="551" customFormat="false" ht="15" hidden="false" customHeight="false" outlineLevel="0" collapsed="false">
      <c r="A551" s="29"/>
      <c r="B551" s="29"/>
      <c r="C551" s="31"/>
      <c r="D551" s="31"/>
      <c r="E551" s="35" t="str">
        <f aca="false">IF(OR(C551="",D551=""),"",MAX(1,D551-C551))</f>
        <v/>
      </c>
      <c r="F551" s="32"/>
      <c r="G551" s="36" t="str">
        <f aca="false">IF(B551="","",IFERROR(IF(N(INDEX(Fleet!$N$5:$N$79,MATCH(B551,Fleet!$A$5:$A$79,0)))&gt;0,INDEX(Fleet!$N$5:$N$79,MATCH(B551,Fleet!$A$5:$A$79,0)),Assumptions!$B$7),Assumptions!$B$7))</f>
        <v/>
      </c>
      <c r="H551" s="34" t="str">
        <f aca="false">IF(OR(F551="",G551=""),"",F551*G551)</f>
        <v/>
      </c>
      <c r="I551" s="32"/>
      <c r="J551" s="32"/>
      <c r="K551" s="37"/>
      <c r="L551" s="38" t="str">
        <f aca="false">IF(C551="","",DATE(YEAR(C551),MONTH(C551),1))</f>
        <v/>
      </c>
      <c r="M551" s="34" t="str">
        <f aca="false">IF(F551="","",N(H551)+N(I551)-N(J551))</f>
        <v/>
      </c>
      <c r="N551" s="29"/>
    </row>
    <row r="552" customFormat="false" ht="15" hidden="false" customHeight="false" outlineLevel="0" collapsed="false">
      <c r="A552" s="29"/>
      <c r="B552" s="29"/>
      <c r="C552" s="31"/>
      <c r="D552" s="31"/>
      <c r="E552" s="35" t="str">
        <f aca="false">IF(OR(C552="",D552=""),"",MAX(1,D552-C552))</f>
        <v/>
      </c>
      <c r="F552" s="32"/>
      <c r="G552" s="36" t="str">
        <f aca="false">IF(B552="","",IFERROR(IF(N(INDEX(Fleet!$N$5:$N$79,MATCH(B552,Fleet!$A$5:$A$79,0)))&gt;0,INDEX(Fleet!$N$5:$N$79,MATCH(B552,Fleet!$A$5:$A$79,0)),Assumptions!$B$7),Assumptions!$B$7))</f>
        <v/>
      </c>
      <c r="H552" s="34" t="str">
        <f aca="false">IF(OR(F552="",G552=""),"",F552*G552)</f>
        <v/>
      </c>
      <c r="I552" s="32"/>
      <c r="J552" s="32"/>
      <c r="K552" s="37"/>
      <c r="L552" s="38" t="str">
        <f aca="false">IF(C552="","",DATE(YEAR(C552),MONTH(C552),1))</f>
        <v/>
      </c>
      <c r="M552" s="34" t="str">
        <f aca="false">IF(F552="","",N(H552)+N(I552)-N(J552))</f>
        <v/>
      </c>
      <c r="N552" s="29"/>
    </row>
    <row r="553" customFormat="false" ht="15" hidden="false" customHeight="false" outlineLevel="0" collapsed="false">
      <c r="A553" s="29"/>
      <c r="B553" s="29"/>
      <c r="C553" s="31"/>
      <c r="D553" s="31"/>
      <c r="E553" s="35" t="str">
        <f aca="false">IF(OR(C553="",D553=""),"",MAX(1,D553-C553))</f>
        <v/>
      </c>
      <c r="F553" s="32"/>
      <c r="G553" s="36" t="str">
        <f aca="false">IF(B553="","",IFERROR(IF(N(INDEX(Fleet!$N$5:$N$79,MATCH(B553,Fleet!$A$5:$A$79,0)))&gt;0,INDEX(Fleet!$N$5:$N$79,MATCH(B553,Fleet!$A$5:$A$79,0)),Assumptions!$B$7),Assumptions!$B$7))</f>
        <v/>
      </c>
      <c r="H553" s="34" t="str">
        <f aca="false">IF(OR(F553="",G553=""),"",F553*G553)</f>
        <v/>
      </c>
      <c r="I553" s="32"/>
      <c r="J553" s="32"/>
      <c r="K553" s="37"/>
      <c r="L553" s="38" t="str">
        <f aca="false">IF(C553="","",DATE(YEAR(C553),MONTH(C553),1))</f>
        <v/>
      </c>
      <c r="M553" s="34" t="str">
        <f aca="false">IF(F553="","",N(H553)+N(I553)-N(J553))</f>
        <v/>
      </c>
      <c r="N553" s="29"/>
    </row>
    <row r="554" customFormat="false" ht="15" hidden="false" customHeight="false" outlineLevel="0" collapsed="false">
      <c r="A554" s="29"/>
      <c r="B554" s="29"/>
      <c r="C554" s="31"/>
      <c r="D554" s="31"/>
      <c r="E554" s="35" t="str">
        <f aca="false">IF(OR(C554="",D554=""),"",MAX(1,D554-C554))</f>
        <v/>
      </c>
      <c r="F554" s="32"/>
      <c r="G554" s="36" t="str">
        <f aca="false">IF(B554="","",IFERROR(IF(N(INDEX(Fleet!$N$5:$N$79,MATCH(B554,Fleet!$A$5:$A$79,0)))&gt;0,INDEX(Fleet!$N$5:$N$79,MATCH(B554,Fleet!$A$5:$A$79,0)),Assumptions!$B$7),Assumptions!$B$7))</f>
        <v/>
      </c>
      <c r="H554" s="34" t="str">
        <f aca="false">IF(OR(F554="",G554=""),"",F554*G554)</f>
        <v/>
      </c>
      <c r="I554" s="32"/>
      <c r="J554" s="32"/>
      <c r="K554" s="37"/>
      <c r="L554" s="38" t="str">
        <f aca="false">IF(C554="","",DATE(YEAR(C554),MONTH(C554),1))</f>
        <v/>
      </c>
      <c r="M554" s="34" t="str">
        <f aca="false">IF(F554="","",N(H554)+N(I554)-N(J554))</f>
        <v/>
      </c>
      <c r="N554" s="29"/>
    </row>
    <row r="555" customFormat="false" ht="15" hidden="false" customHeight="false" outlineLevel="0" collapsed="false">
      <c r="A555" s="29"/>
      <c r="B555" s="29"/>
      <c r="C555" s="31"/>
      <c r="D555" s="31"/>
      <c r="E555" s="35" t="str">
        <f aca="false">IF(OR(C555="",D555=""),"",MAX(1,D555-C555))</f>
        <v/>
      </c>
      <c r="F555" s="32"/>
      <c r="G555" s="36" t="str">
        <f aca="false">IF(B555="","",IFERROR(IF(N(INDEX(Fleet!$N$5:$N$79,MATCH(B555,Fleet!$A$5:$A$79,0)))&gt;0,INDEX(Fleet!$N$5:$N$79,MATCH(B555,Fleet!$A$5:$A$79,0)),Assumptions!$B$7),Assumptions!$B$7))</f>
        <v/>
      </c>
      <c r="H555" s="34" t="str">
        <f aca="false">IF(OR(F555="",G555=""),"",F555*G555)</f>
        <v/>
      </c>
      <c r="I555" s="32"/>
      <c r="J555" s="32"/>
      <c r="K555" s="37"/>
      <c r="L555" s="38" t="str">
        <f aca="false">IF(C555="","",DATE(YEAR(C555),MONTH(C555),1))</f>
        <v/>
      </c>
      <c r="M555" s="34" t="str">
        <f aca="false">IF(F555="","",N(H555)+N(I555)-N(J555))</f>
        <v/>
      </c>
      <c r="N555" s="29"/>
    </row>
    <row r="556" customFormat="false" ht="15" hidden="false" customHeight="false" outlineLevel="0" collapsed="false">
      <c r="A556" s="29"/>
      <c r="B556" s="29"/>
      <c r="C556" s="31"/>
      <c r="D556" s="31"/>
      <c r="E556" s="35" t="str">
        <f aca="false">IF(OR(C556="",D556=""),"",MAX(1,D556-C556))</f>
        <v/>
      </c>
      <c r="F556" s="32"/>
      <c r="G556" s="36" t="str">
        <f aca="false">IF(B556="","",IFERROR(IF(N(INDEX(Fleet!$N$5:$N$79,MATCH(B556,Fleet!$A$5:$A$79,0)))&gt;0,INDEX(Fleet!$N$5:$N$79,MATCH(B556,Fleet!$A$5:$A$79,0)),Assumptions!$B$7),Assumptions!$B$7))</f>
        <v/>
      </c>
      <c r="H556" s="34" t="str">
        <f aca="false">IF(OR(F556="",G556=""),"",F556*G556)</f>
        <v/>
      </c>
      <c r="I556" s="32"/>
      <c r="J556" s="32"/>
      <c r="K556" s="37"/>
      <c r="L556" s="38" t="str">
        <f aca="false">IF(C556="","",DATE(YEAR(C556),MONTH(C556),1))</f>
        <v/>
      </c>
      <c r="M556" s="34" t="str">
        <f aca="false">IF(F556="","",N(H556)+N(I556)-N(J556))</f>
        <v/>
      </c>
      <c r="N556" s="29"/>
    </row>
    <row r="557" customFormat="false" ht="15" hidden="false" customHeight="false" outlineLevel="0" collapsed="false">
      <c r="A557" s="29"/>
      <c r="B557" s="29"/>
      <c r="C557" s="31"/>
      <c r="D557" s="31"/>
      <c r="E557" s="35" t="str">
        <f aca="false">IF(OR(C557="",D557=""),"",MAX(1,D557-C557))</f>
        <v/>
      </c>
      <c r="F557" s="32"/>
      <c r="G557" s="36" t="str">
        <f aca="false">IF(B557="","",IFERROR(IF(N(INDEX(Fleet!$N$5:$N$79,MATCH(B557,Fleet!$A$5:$A$79,0)))&gt;0,INDEX(Fleet!$N$5:$N$79,MATCH(B557,Fleet!$A$5:$A$79,0)),Assumptions!$B$7),Assumptions!$B$7))</f>
        <v/>
      </c>
      <c r="H557" s="34" t="str">
        <f aca="false">IF(OR(F557="",G557=""),"",F557*G557)</f>
        <v/>
      </c>
      <c r="I557" s="32"/>
      <c r="J557" s="32"/>
      <c r="K557" s="37"/>
      <c r="L557" s="38" t="str">
        <f aca="false">IF(C557="","",DATE(YEAR(C557),MONTH(C557),1))</f>
        <v/>
      </c>
      <c r="M557" s="34" t="str">
        <f aca="false">IF(F557="","",N(H557)+N(I557)-N(J557))</f>
        <v/>
      </c>
      <c r="N557" s="29"/>
    </row>
    <row r="558" customFormat="false" ht="15" hidden="false" customHeight="false" outlineLevel="0" collapsed="false">
      <c r="A558" s="29"/>
      <c r="B558" s="29"/>
      <c r="C558" s="31"/>
      <c r="D558" s="31"/>
      <c r="E558" s="35" t="str">
        <f aca="false">IF(OR(C558="",D558=""),"",MAX(1,D558-C558))</f>
        <v/>
      </c>
      <c r="F558" s="32"/>
      <c r="G558" s="36" t="str">
        <f aca="false">IF(B558="","",IFERROR(IF(N(INDEX(Fleet!$N$5:$N$79,MATCH(B558,Fleet!$A$5:$A$79,0)))&gt;0,INDEX(Fleet!$N$5:$N$79,MATCH(B558,Fleet!$A$5:$A$79,0)),Assumptions!$B$7),Assumptions!$B$7))</f>
        <v/>
      </c>
      <c r="H558" s="34" t="str">
        <f aca="false">IF(OR(F558="",G558=""),"",F558*G558)</f>
        <v/>
      </c>
      <c r="I558" s="32"/>
      <c r="J558" s="32"/>
      <c r="K558" s="37"/>
      <c r="L558" s="38" t="str">
        <f aca="false">IF(C558="","",DATE(YEAR(C558),MONTH(C558),1))</f>
        <v/>
      </c>
      <c r="M558" s="34" t="str">
        <f aca="false">IF(F558="","",N(H558)+N(I558)-N(J558))</f>
        <v/>
      </c>
      <c r="N558" s="29"/>
    </row>
    <row r="559" customFormat="false" ht="15" hidden="false" customHeight="false" outlineLevel="0" collapsed="false">
      <c r="A559" s="29"/>
      <c r="B559" s="29"/>
      <c r="C559" s="31"/>
      <c r="D559" s="31"/>
      <c r="E559" s="35" t="str">
        <f aca="false">IF(OR(C559="",D559=""),"",MAX(1,D559-C559))</f>
        <v/>
      </c>
      <c r="F559" s="32"/>
      <c r="G559" s="36" t="str">
        <f aca="false">IF(B559="","",IFERROR(IF(N(INDEX(Fleet!$N$5:$N$79,MATCH(B559,Fleet!$A$5:$A$79,0)))&gt;0,INDEX(Fleet!$N$5:$N$79,MATCH(B559,Fleet!$A$5:$A$79,0)),Assumptions!$B$7),Assumptions!$B$7))</f>
        <v/>
      </c>
      <c r="H559" s="34" t="str">
        <f aca="false">IF(OR(F559="",G559=""),"",F559*G559)</f>
        <v/>
      </c>
      <c r="I559" s="32"/>
      <c r="J559" s="32"/>
      <c r="K559" s="37"/>
      <c r="L559" s="38" t="str">
        <f aca="false">IF(C559="","",DATE(YEAR(C559),MONTH(C559),1))</f>
        <v/>
      </c>
      <c r="M559" s="34" t="str">
        <f aca="false">IF(F559="","",N(H559)+N(I559)-N(J559))</f>
        <v/>
      </c>
      <c r="N559" s="29"/>
    </row>
    <row r="560" customFormat="false" ht="15" hidden="false" customHeight="false" outlineLevel="0" collapsed="false">
      <c r="A560" s="29"/>
      <c r="B560" s="29"/>
      <c r="C560" s="31"/>
      <c r="D560" s="31"/>
      <c r="E560" s="35" t="str">
        <f aca="false">IF(OR(C560="",D560=""),"",MAX(1,D560-C560))</f>
        <v/>
      </c>
      <c r="F560" s="32"/>
      <c r="G560" s="36" t="str">
        <f aca="false">IF(B560="","",IFERROR(IF(N(INDEX(Fleet!$N$5:$N$79,MATCH(B560,Fleet!$A$5:$A$79,0)))&gt;0,INDEX(Fleet!$N$5:$N$79,MATCH(B560,Fleet!$A$5:$A$79,0)),Assumptions!$B$7),Assumptions!$B$7))</f>
        <v/>
      </c>
      <c r="H560" s="34" t="str">
        <f aca="false">IF(OR(F560="",G560=""),"",F560*G560)</f>
        <v/>
      </c>
      <c r="I560" s="32"/>
      <c r="J560" s="32"/>
      <c r="K560" s="37"/>
      <c r="L560" s="38" t="str">
        <f aca="false">IF(C560="","",DATE(YEAR(C560),MONTH(C560),1))</f>
        <v/>
      </c>
      <c r="M560" s="34" t="str">
        <f aca="false">IF(F560="","",N(H560)+N(I560)-N(J560))</f>
        <v/>
      </c>
      <c r="N560" s="29"/>
    </row>
    <row r="561" customFormat="false" ht="15" hidden="false" customHeight="false" outlineLevel="0" collapsed="false">
      <c r="A561" s="29"/>
      <c r="B561" s="29"/>
      <c r="C561" s="31"/>
      <c r="D561" s="31"/>
      <c r="E561" s="35" t="str">
        <f aca="false">IF(OR(C561="",D561=""),"",MAX(1,D561-C561))</f>
        <v/>
      </c>
      <c r="F561" s="32"/>
      <c r="G561" s="36" t="str">
        <f aca="false">IF(B561="","",IFERROR(IF(N(INDEX(Fleet!$N$5:$N$79,MATCH(B561,Fleet!$A$5:$A$79,0)))&gt;0,INDEX(Fleet!$N$5:$N$79,MATCH(B561,Fleet!$A$5:$A$79,0)),Assumptions!$B$7),Assumptions!$B$7))</f>
        <v/>
      </c>
      <c r="H561" s="34" t="str">
        <f aca="false">IF(OR(F561="",G561=""),"",F561*G561)</f>
        <v/>
      </c>
      <c r="I561" s="32"/>
      <c r="J561" s="32"/>
      <c r="K561" s="37"/>
      <c r="L561" s="38" t="str">
        <f aca="false">IF(C561="","",DATE(YEAR(C561),MONTH(C561),1))</f>
        <v/>
      </c>
      <c r="M561" s="34" t="str">
        <f aca="false">IF(F561="","",N(H561)+N(I561)-N(J561))</f>
        <v/>
      </c>
      <c r="N561" s="29"/>
    </row>
    <row r="562" customFormat="false" ht="15" hidden="false" customHeight="false" outlineLevel="0" collapsed="false">
      <c r="A562" s="29"/>
      <c r="B562" s="29"/>
      <c r="C562" s="31"/>
      <c r="D562" s="31"/>
      <c r="E562" s="35" t="str">
        <f aca="false">IF(OR(C562="",D562=""),"",MAX(1,D562-C562))</f>
        <v/>
      </c>
      <c r="F562" s="32"/>
      <c r="G562" s="36" t="str">
        <f aca="false">IF(B562="","",IFERROR(IF(N(INDEX(Fleet!$N$5:$N$79,MATCH(B562,Fleet!$A$5:$A$79,0)))&gt;0,INDEX(Fleet!$N$5:$N$79,MATCH(B562,Fleet!$A$5:$A$79,0)),Assumptions!$B$7),Assumptions!$B$7))</f>
        <v/>
      </c>
      <c r="H562" s="34" t="str">
        <f aca="false">IF(OR(F562="",G562=""),"",F562*G562)</f>
        <v/>
      </c>
      <c r="I562" s="32"/>
      <c r="J562" s="32"/>
      <c r="K562" s="37"/>
      <c r="L562" s="38" t="str">
        <f aca="false">IF(C562="","",DATE(YEAR(C562),MONTH(C562),1))</f>
        <v/>
      </c>
      <c r="M562" s="34" t="str">
        <f aca="false">IF(F562="","",N(H562)+N(I562)-N(J562))</f>
        <v/>
      </c>
      <c r="N562" s="29"/>
    </row>
    <row r="563" customFormat="false" ht="15" hidden="false" customHeight="false" outlineLevel="0" collapsed="false">
      <c r="A563" s="29"/>
      <c r="B563" s="29"/>
      <c r="C563" s="31"/>
      <c r="D563" s="31"/>
      <c r="E563" s="35" t="str">
        <f aca="false">IF(OR(C563="",D563=""),"",MAX(1,D563-C563))</f>
        <v/>
      </c>
      <c r="F563" s="32"/>
      <c r="G563" s="36" t="str">
        <f aca="false">IF(B563="","",IFERROR(IF(N(INDEX(Fleet!$N$5:$N$79,MATCH(B563,Fleet!$A$5:$A$79,0)))&gt;0,INDEX(Fleet!$N$5:$N$79,MATCH(B563,Fleet!$A$5:$A$79,0)),Assumptions!$B$7),Assumptions!$B$7))</f>
        <v/>
      </c>
      <c r="H563" s="34" t="str">
        <f aca="false">IF(OR(F563="",G563=""),"",F563*G563)</f>
        <v/>
      </c>
      <c r="I563" s="32"/>
      <c r="J563" s="32"/>
      <c r="K563" s="37"/>
      <c r="L563" s="38" t="str">
        <f aca="false">IF(C563="","",DATE(YEAR(C563),MONTH(C563),1))</f>
        <v/>
      </c>
      <c r="M563" s="34" t="str">
        <f aca="false">IF(F563="","",N(H563)+N(I563)-N(J563))</f>
        <v/>
      </c>
      <c r="N563" s="29"/>
    </row>
    <row r="564" customFormat="false" ht="15" hidden="false" customHeight="false" outlineLevel="0" collapsed="false">
      <c r="A564" s="29"/>
      <c r="B564" s="29"/>
      <c r="C564" s="31"/>
      <c r="D564" s="31"/>
      <c r="E564" s="35" t="str">
        <f aca="false">IF(OR(C564="",D564=""),"",MAX(1,D564-C564))</f>
        <v/>
      </c>
      <c r="F564" s="32"/>
      <c r="G564" s="36" t="str">
        <f aca="false">IF(B564="","",IFERROR(IF(N(INDEX(Fleet!$N$5:$N$79,MATCH(B564,Fleet!$A$5:$A$79,0)))&gt;0,INDEX(Fleet!$N$5:$N$79,MATCH(B564,Fleet!$A$5:$A$79,0)),Assumptions!$B$7),Assumptions!$B$7))</f>
        <v/>
      </c>
      <c r="H564" s="34" t="str">
        <f aca="false">IF(OR(F564="",G564=""),"",F564*G564)</f>
        <v/>
      </c>
      <c r="I564" s="32"/>
      <c r="J564" s="32"/>
      <c r="K564" s="37"/>
      <c r="L564" s="38" t="str">
        <f aca="false">IF(C564="","",DATE(YEAR(C564),MONTH(C564),1))</f>
        <v/>
      </c>
      <c r="M564" s="34" t="str">
        <f aca="false">IF(F564="","",N(H564)+N(I564)-N(J564))</f>
        <v/>
      </c>
      <c r="N564" s="29"/>
    </row>
    <row r="565" customFormat="false" ht="15" hidden="false" customHeight="false" outlineLevel="0" collapsed="false">
      <c r="A565" s="29"/>
      <c r="B565" s="29"/>
      <c r="C565" s="31"/>
      <c r="D565" s="31"/>
      <c r="E565" s="35" t="str">
        <f aca="false">IF(OR(C565="",D565=""),"",MAX(1,D565-C565))</f>
        <v/>
      </c>
      <c r="F565" s="32"/>
      <c r="G565" s="36" t="str">
        <f aca="false">IF(B565="","",IFERROR(IF(N(INDEX(Fleet!$N$5:$N$79,MATCH(B565,Fleet!$A$5:$A$79,0)))&gt;0,INDEX(Fleet!$N$5:$N$79,MATCH(B565,Fleet!$A$5:$A$79,0)),Assumptions!$B$7),Assumptions!$B$7))</f>
        <v/>
      </c>
      <c r="H565" s="34" t="str">
        <f aca="false">IF(OR(F565="",G565=""),"",F565*G565)</f>
        <v/>
      </c>
      <c r="I565" s="32"/>
      <c r="J565" s="32"/>
      <c r="K565" s="37"/>
      <c r="L565" s="38" t="str">
        <f aca="false">IF(C565="","",DATE(YEAR(C565),MONTH(C565),1))</f>
        <v/>
      </c>
      <c r="M565" s="34" t="str">
        <f aca="false">IF(F565="","",N(H565)+N(I565)-N(J565))</f>
        <v/>
      </c>
      <c r="N565" s="29"/>
    </row>
    <row r="566" customFormat="false" ht="15" hidden="false" customHeight="false" outlineLevel="0" collapsed="false">
      <c r="A566" s="29"/>
      <c r="B566" s="29"/>
      <c r="C566" s="31"/>
      <c r="D566" s="31"/>
      <c r="E566" s="35" t="str">
        <f aca="false">IF(OR(C566="",D566=""),"",MAX(1,D566-C566))</f>
        <v/>
      </c>
      <c r="F566" s="32"/>
      <c r="G566" s="36" t="str">
        <f aca="false">IF(B566="","",IFERROR(IF(N(INDEX(Fleet!$N$5:$N$79,MATCH(B566,Fleet!$A$5:$A$79,0)))&gt;0,INDEX(Fleet!$N$5:$N$79,MATCH(B566,Fleet!$A$5:$A$79,0)),Assumptions!$B$7),Assumptions!$B$7))</f>
        <v/>
      </c>
      <c r="H566" s="34" t="str">
        <f aca="false">IF(OR(F566="",G566=""),"",F566*G566)</f>
        <v/>
      </c>
      <c r="I566" s="32"/>
      <c r="J566" s="32"/>
      <c r="K566" s="37"/>
      <c r="L566" s="38" t="str">
        <f aca="false">IF(C566="","",DATE(YEAR(C566),MONTH(C566),1))</f>
        <v/>
      </c>
      <c r="M566" s="34" t="str">
        <f aca="false">IF(F566="","",N(H566)+N(I566)-N(J566))</f>
        <v/>
      </c>
      <c r="N566" s="29"/>
    </row>
    <row r="567" customFormat="false" ht="15" hidden="false" customHeight="false" outlineLevel="0" collapsed="false">
      <c r="A567" s="29"/>
      <c r="B567" s="29"/>
      <c r="C567" s="31"/>
      <c r="D567" s="31"/>
      <c r="E567" s="35" t="str">
        <f aca="false">IF(OR(C567="",D567=""),"",MAX(1,D567-C567))</f>
        <v/>
      </c>
      <c r="F567" s="32"/>
      <c r="G567" s="36" t="str">
        <f aca="false">IF(B567="","",IFERROR(IF(N(INDEX(Fleet!$N$5:$N$79,MATCH(B567,Fleet!$A$5:$A$79,0)))&gt;0,INDEX(Fleet!$N$5:$N$79,MATCH(B567,Fleet!$A$5:$A$79,0)),Assumptions!$B$7),Assumptions!$B$7))</f>
        <v/>
      </c>
      <c r="H567" s="34" t="str">
        <f aca="false">IF(OR(F567="",G567=""),"",F567*G567)</f>
        <v/>
      </c>
      <c r="I567" s="32"/>
      <c r="J567" s="32"/>
      <c r="K567" s="37"/>
      <c r="L567" s="38" t="str">
        <f aca="false">IF(C567="","",DATE(YEAR(C567),MONTH(C567),1))</f>
        <v/>
      </c>
      <c r="M567" s="34" t="str">
        <f aca="false">IF(F567="","",N(H567)+N(I567)-N(J567))</f>
        <v/>
      </c>
      <c r="N567" s="29"/>
    </row>
    <row r="568" customFormat="false" ht="15" hidden="false" customHeight="false" outlineLevel="0" collapsed="false">
      <c r="A568" s="29"/>
      <c r="B568" s="29"/>
      <c r="C568" s="31"/>
      <c r="D568" s="31"/>
      <c r="E568" s="35" t="str">
        <f aca="false">IF(OR(C568="",D568=""),"",MAX(1,D568-C568))</f>
        <v/>
      </c>
      <c r="F568" s="32"/>
      <c r="G568" s="36" t="str">
        <f aca="false">IF(B568="","",IFERROR(IF(N(INDEX(Fleet!$N$5:$N$79,MATCH(B568,Fleet!$A$5:$A$79,0)))&gt;0,INDEX(Fleet!$N$5:$N$79,MATCH(B568,Fleet!$A$5:$A$79,0)),Assumptions!$B$7),Assumptions!$B$7))</f>
        <v/>
      </c>
      <c r="H568" s="34" t="str">
        <f aca="false">IF(OR(F568="",G568=""),"",F568*G568)</f>
        <v/>
      </c>
      <c r="I568" s="32"/>
      <c r="J568" s="32"/>
      <c r="K568" s="37"/>
      <c r="L568" s="38" t="str">
        <f aca="false">IF(C568="","",DATE(YEAR(C568),MONTH(C568),1))</f>
        <v/>
      </c>
      <c r="M568" s="34" t="str">
        <f aca="false">IF(F568="","",N(H568)+N(I568)-N(J568))</f>
        <v/>
      </c>
      <c r="N568" s="29"/>
    </row>
    <row r="569" customFormat="false" ht="15" hidden="false" customHeight="false" outlineLevel="0" collapsed="false">
      <c r="A569" s="29"/>
      <c r="B569" s="29"/>
      <c r="C569" s="31"/>
      <c r="D569" s="31"/>
      <c r="E569" s="35" t="str">
        <f aca="false">IF(OR(C569="",D569=""),"",MAX(1,D569-C569))</f>
        <v/>
      </c>
      <c r="F569" s="32"/>
      <c r="G569" s="36" t="str">
        <f aca="false">IF(B569="","",IFERROR(IF(N(INDEX(Fleet!$N$5:$N$79,MATCH(B569,Fleet!$A$5:$A$79,0)))&gt;0,INDEX(Fleet!$N$5:$N$79,MATCH(B569,Fleet!$A$5:$A$79,0)),Assumptions!$B$7),Assumptions!$B$7))</f>
        <v/>
      </c>
      <c r="H569" s="34" t="str">
        <f aca="false">IF(OR(F569="",G569=""),"",F569*G569)</f>
        <v/>
      </c>
      <c r="I569" s="32"/>
      <c r="J569" s="32"/>
      <c r="K569" s="37"/>
      <c r="L569" s="38" t="str">
        <f aca="false">IF(C569="","",DATE(YEAR(C569),MONTH(C569),1))</f>
        <v/>
      </c>
      <c r="M569" s="34" t="str">
        <f aca="false">IF(F569="","",N(H569)+N(I569)-N(J569))</f>
        <v/>
      </c>
      <c r="N569" s="29"/>
    </row>
    <row r="570" customFormat="false" ht="15" hidden="false" customHeight="false" outlineLevel="0" collapsed="false">
      <c r="A570" s="29"/>
      <c r="B570" s="29"/>
      <c r="C570" s="31"/>
      <c r="D570" s="31"/>
      <c r="E570" s="35" t="str">
        <f aca="false">IF(OR(C570="",D570=""),"",MAX(1,D570-C570))</f>
        <v/>
      </c>
      <c r="F570" s="32"/>
      <c r="G570" s="36" t="str">
        <f aca="false">IF(B570="","",IFERROR(IF(N(INDEX(Fleet!$N$5:$N$79,MATCH(B570,Fleet!$A$5:$A$79,0)))&gt;0,INDEX(Fleet!$N$5:$N$79,MATCH(B570,Fleet!$A$5:$A$79,0)),Assumptions!$B$7),Assumptions!$B$7))</f>
        <v/>
      </c>
      <c r="H570" s="34" t="str">
        <f aca="false">IF(OR(F570="",G570=""),"",F570*G570)</f>
        <v/>
      </c>
      <c r="I570" s="32"/>
      <c r="J570" s="32"/>
      <c r="K570" s="37"/>
      <c r="L570" s="38" t="str">
        <f aca="false">IF(C570="","",DATE(YEAR(C570),MONTH(C570),1))</f>
        <v/>
      </c>
      <c r="M570" s="34" t="str">
        <f aca="false">IF(F570="","",N(H570)+N(I570)-N(J570))</f>
        <v/>
      </c>
      <c r="N570" s="29"/>
    </row>
    <row r="571" customFormat="false" ht="15" hidden="false" customHeight="false" outlineLevel="0" collapsed="false">
      <c r="A571" s="29"/>
      <c r="B571" s="29"/>
      <c r="C571" s="31"/>
      <c r="D571" s="31"/>
      <c r="E571" s="35" t="str">
        <f aca="false">IF(OR(C571="",D571=""),"",MAX(1,D571-C571))</f>
        <v/>
      </c>
      <c r="F571" s="32"/>
      <c r="G571" s="36" t="str">
        <f aca="false">IF(B571="","",IFERROR(IF(N(INDEX(Fleet!$N$5:$N$79,MATCH(B571,Fleet!$A$5:$A$79,0)))&gt;0,INDEX(Fleet!$N$5:$N$79,MATCH(B571,Fleet!$A$5:$A$79,0)),Assumptions!$B$7),Assumptions!$B$7))</f>
        <v/>
      </c>
      <c r="H571" s="34" t="str">
        <f aca="false">IF(OR(F571="",G571=""),"",F571*G571)</f>
        <v/>
      </c>
      <c r="I571" s="32"/>
      <c r="J571" s="32"/>
      <c r="K571" s="37"/>
      <c r="L571" s="38" t="str">
        <f aca="false">IF(C571="","",DATE(YEAR(C571),MONTH(C571),1))</f>
        <v/>
      </c>
      <c r="M571" s="34" t="str">
        <f aca="false">IF(F571="","",N(H571)+N(I571)-N(J571))</f>
        <v/>
      </c>
      <c r="N571" s="29"/>
    </row>
    <row r="572" customFormat="false" ht="15" hidden="false" customHeight="false" outlineLevel="0" collapsed="false">
      <c r="A572" s="29"/>
      <c r="B572" s="29"/>
      <c r="C572" s="31"/>
      <c r="D572" s="31"/>
      <c r="E572" s="35" t="str">
        <f aca="false">IF(OR(C572="",D572=""),"",MAX(1,D572-C572))</f>
        <v/>
      </c>
      <c r="F572" s="32"/>
      <c r="G572" s="36" t="str">
        <f aca="false">IF(B572="","",IFERROR(IF(N(INDEX(Fleet!$N$5:$N$79,MATCH(B572,Fleet!$A$5:$A$79,0)))&gt;0,INDEX(Fleet!$N$5:$N$79,MATCH(B572,Fleet!$A$5:$A$79,0)),Assumptions!$B$7),Assumptions!$B$7))</f>
        <v/>
      </c>
      <c r="H572" s="34" t="str">
        <f aca="false">IF(OR(F572="",G572=""),"",F572*G572)</f>
        <v/>
      </c>
      <c r="I572" s="32"/>
      <c r="J572" s="32"/>
      <c r="K572" s="37"/>
      <c r="L572" s="38" t="str">
        <f aca="false">IF(C572="","",DATE(YEAR(C572),MONTH(C572),1))</f>
        <v/>
      </c>
      <c r="M572" s="34" t="str">
        <f aca="false">IF(F572="","",N(H572)+N(I572)-N(J572))</f>
        <v/>
      </c>
      <c r="N572" s="29"/>
    </row>
    <row r="573" customFormat="false" ht="15" hidden="false" customHeight="false" outlineLevel="0" collapsed="false">
      <c r="A573" s="29"/>
      <c r="B573" s="29"/>
      <c r="C573" s="31"/>
      <c r="D573" s="31"/>
      <c r="E573" s="35" t="str">
        <f aca="false">IF(OR(C573="",D573=""),"",MAX(1,D573-C573))</f>
        <v/>
      </c>
      <c r="F573" s="32"/>
      <c r="G573" s="36" t="str">
        <f aca="false">IF(B573="","",IFERROR(IF(N(INDEX(Fleet!$N$5:$N$79,MATCH(B573,Fleet!$A$5:$A$79,0)))&gt;0,INDEX(Fleet!$N$5:$N$79,MATCH(B573,Fleet!$A$5:$A$79,0)),Assumptions!$B$7),Assumptions!$B$7))</f>
        <v/>
      </c>
      <c r="H573" s="34" t="str">
        <f aca="false">IF(OR(F573="",G573=""),"",F573*G573)</f>
        <v/>
      </c>
      <c r="I573" s="32"/>
      <c r="J573" s="32"/>
      <c r="K573" s="37"/>
      <c r="L573" s="38" t="str">
        <f aca="false">IF(C573="","",DATE(YEAR(C573),MONTH(C573),1))</f>
        <v/>
      </c>
      <c r="M573" s="34" t="str">
        <f aca="false">IF(F573="","",N(H573)+N(I573)-N(J573))</f>
        <v/>
      </c>
      <c r="N573" s="29"/>
    </row>
    <row r="574" customFormat="false" ht="15" hidden="false" customHeight="false" outlineLevel="0" collapsed="false">
      <c r="A574" s="29"/>
      <c r="B574" s="29"/>
      <c r="C574" s="31"/>
      <c r="D574" s="31"/>
      <c r="E574" s="35" t="str">
        <f aca="false">IF(OR(C574="",D574=""),"",MAX(1,D574-C574))</f>
        <v/>
      </c>
      <c r="F574" s="32"/>
      <c r="G574" s="36" t="str">
        <f aca="false">IF(B574="","",IFERROR(IF(N(INDEX(Fleet!$N$5:$N$79,MATCH(B574,Fleet!$A$5:$A$79,0)))&gt;0,INDEX(Fleet!$N$5:$N$79,MATCH(B574,Fleet!$A$5:$A$79,0)),Assumptions!$B$7),Assumptions!$B$7))</f>
        <v/>
      </c>
      <c r="H574" s="34" t="str">
        <f aca="false">IF(OR(F574="",G574=""),"",F574*G574)</f>
        <v/>
      </c>
      <c r="I574" s="32"/>
      <c r="J574" s="32"/>
      <c r="K574" s="37"/>
      <c r="L574" s="38" t="str">
        <f aca="false">IF(C574="","",DATE(YEAR(C574),MONTH(C574),1))</f>
        <v/>
      </c>
      <c r="M574" s="34" t="str">
        <f aca="false">IF(F574="","",N(H574)+N(I574)-N(J574))</f>
        <v/>
      </c>
      <c r="N574" s="29"/>
    </row>
    <row r="575" customFormat="false" ht="15" hidden="false" customHeight="false" outlineLevel="0" collapsed="false">
      <c r="A575" s="29"/>
      <c r="B575" s="29"/>
      <c r="C575" s="31"/>
      <c r="D575" s="31"/>
      <c r="E575" s="35" t="str">
        <f aca="false">IF(OR(C575="",D575=""),"",MAX(1,D575-C575))</f>
        <v/>
      </c>
      <c r="F575" s="32"/>
      <c r="G575" s="36" t="str">
        <f aca="false">IF(B575="","",IFERROR(IF(N(INDEX(Fleet!$N$5:$N$79,MATCH(B575,Fleet!$A$5:$A$79,0)))&gt;0,INDEX(Fleet!$N$5:$N$79,MATCH(B575,Fleet!$A$5:$A$79,0)),Assumptions!$B$7),Assumptions!$B$7))</f>
        <v/>
      </c>
      <c r="H575" s="34" t="str">
        <f aca="false">IF(OR(F575="",G575=""),"",F575*G575)</f>
        <v/>
      </c>
      <c r="I575" s="32"/>
      <c r="J575" s="32"/>
      <c r="K575" s="37"/>
      <c r="L575" s="38" t="str">
        <f aca="false">IF(C575="","",DATE(YEAR(C575),MONTH(C575),1))</f>
        <v/>
      </c>
      <c r="M575" s="34" t="str">
        <f aca="false">IF(F575="","",N(H575)+N(I575)-N(J575))</f>
        <v/>
      </c>
      <c r="N575" s="29"/>
    </row>
    <row r="576" customFormat="false" ht="15" hidden="false" customHeight="false" outlineLevel="0" collapsed="false">
      <c r="A576" s="29"/>
      <c r="B576" s="29"/>
      <c r="C576" s="31"/>
      <c r="D576" s="31"/>
      <c r="E576" s="35" t="str">
        <f aca="false">IF(OR(C576="",D576=""),"",MAX(1,D576-C576))</f>
        <v/>
      </c>
      <c r="F576" s="32"/>
      <c r="G576" s="36" t="str">
        <f aca="false">IF(B576="","",IFERROR(IF(N(INDEX(Fleet!$N$5:$N$79,MATCH(B576,Fleet!$A$5:$A$79,0)))&gt;0,INDEX(Fleet!$N$5:$N$79,MATCH(B576,Fleet!$A$5:$A$79,0)),Assumptions!$B$7),Assumptions!$B$7))</f>
        <v/>
      </c>
      <c r="H576" s="34" t="str">
        <f aca="false">IF(OR(F576="",G576=""),"",F576*G576)</f>
        <v/>
      </c>
      <c r="I576" s="32"/>
      <c r="J576" s="32"/>
      <c r="K576" s="37"/>
      <c r="L576" s="38" t="str">
        <f aca="false">IF(C576="","",DATE(YEAR(C576),MONTH(C576),1))</f>
        <v/>
      </c>
      <c r="M576" s="34" t="str">
        <f aca="false">IF(F576="","",N(H576)+N(I576)-N(J576))</f>
        <v/>
      </c>
      <c r="N576" s="29"/>
    </row>
    <row r="577" customFormat="false" ht="15" hidden="false" customHeight="false" outlineLevel="0" collapsed="false">
      <c r="A577" s="29"/>
      <c r="B577" s="29"/>
      <c r="C577" s="31"/>
      <c r="D577" s="31"/>
      <c r="E577" s="35" t="str">
        <f aca="false">IF(OR(C577="",D577=""),"",MAX(1,D577-C577))</f>
        <v/>
      </c>
      <c r="F577" s="32"/>
      <c r="G577" s="36" t="str">
        <f aca="false">IF(B577="","",IFERROR(IF(N(INDEX(Fleet!$N$5:$N$79,MATCH(B577,Fleet!$A$5:$A$79,0)))&gt;0,INDEX(Fleet!$N$5:$N$79,MATCH(B577,Fleet!$A$5:$A$79,0)),Assumptions!$B$7),Assumptions!$B$7))</f>
        <v/>
      </c>
      <c r="H577" s="34" t="str">
        <f aca="false">IF(OR(F577="",G577=""),"",F577*G577)</f>
        <v/>
      </c>
      <c r="I577" s="32"/>
      <c r="J577" s="32"/>
      <c r="K577" s="37"/>
      <c r="L577" s="38" t="str">
        <f aca="false">IF(C577="","",DATE(YEAR(C577),MONTH(C577),1))</f>
        <v/>
      </c>
      <c r="M577" s="34" t="str">
        <f aca="false">IF(F577="","",N(H577)+N(I577)-N(J577))</f>
        <v/>
      </c>
      <c r="N577" s="29"/>
    </row>
    <row r="578" customFormat="false" ht="15" hidden="false" customHeight="false" outlineLevel="0" collapsed="false">
      <c r="A578" s="29"/>
      <c r="B578" s="29"/>
      <c r="C578" s="31"/>
      <c r="D578" s="31"/>
      <c r="E578" s="35" t="str">
        <f aca="false">IF(OR(C578="",D578=""),"",MAX(1,D578-C578))</f>
        <v/>
      </c>
      <c r="F578" s="32"/>
      <c r="G578" s="36" t="str">
        <f aca="false">IF(B578="","",IFERROR(IF(N(INDEX(Fleet!$N$5:$N$79,MATCH(B578,Fleet!$A$5:$A$79,0)))&gt;0,INDEX(Fleet!$N$5:$N$79,MATCH(B578,Fleet!$A$5:$A$79,0)),Assumptions!$B$7),Assumptions!$B$7))</f>
        <v/>
      </c>
      <c r="H578" s="34" t="str">
        <f aca="false">IF(OR(F578="",G578=""),"",F578*G578)</f>
        <v/>
      </c>
      <c r="I578" s="32"/>
      <c r="J578" s="32"/>
      <c r="K578" s="37"/>
      <c r="L578" s="38" t="str">
        <f aca="false">IF(C578="","",DATE(YEAR(C578),MONTH(C578),1))</f>
        <v/>
      </c>
      <c r="M578" s="34" t="str">
        <f aca="false">IF(F578="","",N(H578)+N(I578)-N(J578))</f>
        <v/>
      </c>
      <c r="N578" s="29"/>
    </row>
    <row r="579" customFormat="false" ht="15" hidden="false" customHeight="false" outlineLevel="0" collapsed="false">
      <c r="A579" s="29"/>
      <c r="B579" s="29"/>
      <c r="C579" s="31"/>
      <c r="D579" s="31"/>
      <c r="E579" s="35" t="str">
        <f aca="false">IF(OR(C579="",D579=""),"",MAX(1,D579-C579))</f>
        <v/>
      </c>
      <c r="F579" s="32"/>
      <c r="G579" s="36" t="str">
        <f aca="false">IF(B579="","",IFERROR(IF(N(INDEX(Fleet!$N$5:$N$79,MATCH(B579,Fleet!$A$5:$A$79,0)))&gt;0,INDEX(Fleet!$N$5:$N$79,MATCH(B579,Fleet!$A$5:$A$79,0)),Assumptions!$B$7),Assumptions!$B$7))</f>
        <v/>
      </c>
      <c r="H579" s="34" t="str">
        <f aca="false">IF(OR(F579="",G579=""),"",F579*G579)</f>
        <v/>
      </c>
      <c r="I579" s="32"/>
      <c r="J579" s="32"/>
      <c r="K579" s="37"/>
      <c r="L579" s="38" t="str">
        <f aca="false">IF(C579="","",DATE(YEAR(C579),MONTH(C579),1))</f>
        <v/>
      </c>
      <c r="M579" s="34" t="str">
        <f aca="false">IF(F579="","",N(H579)+N(I579)-N(J579))</f>
        <v/>
      </c>
      <c r="N579" s="29"/>
    </row>
    <row r="580" customFormat="false" ht="15" hidden="false" customHeight="false" outlineLevel="0" collapsed="false">
      <c r="A580" s="29"/>
      <c r="B580" s="29"/>
      <c r="C580" s="31"/>
      <c r="D580" s="31"/>
      <c r="E580" s="35" t="str">
        <f aca="false">IF(OR(C580="",D580=""),"",MAX(1,D580-C580))</f>
        <v/>
      </c>
      <c r="F580" s="32"/>
      <c r="G580" s="36" t="str">
        <f aca="false">IF(B580="","",IFERROR(IF(N(INDEX(Fleet!$N$5:$N$79,MATCH(B580,Fleet!$A$5:$A$79,0)))&gt;0,INDEX(Fleet!$N$5:$N$79,MATCH(B580,Fleet!$A$5:$A$79,0)),Assumptions!$B$7),Assumptions!$B$7))</f>
        <v/>
      </c>
      <c r="H580" s="34" t="str">
        <f aca="false">IF(OR(F580="",G580=""),"",F580*G580)</f>
        <v/>
      </c>
      <c r="I580" s="32"/>
      <c r="J580" s="32"/>
      <c r="K580" s="37"/>
      <c r="L580" s="38" t="str">
        <f aca="false">IF(C580="","",DATE(YEAR(C580),MONTH(C580),1))</f>
        <v/>
      </c>
      <c r="M580" s="34" t="str">
        <f aca="false">IF(F580="","",N(H580)+N(I580)-N(J580))</f>
        <v/>
      </c>
      <c r="N580" s="29"/>
    </row>
    <row r="581" customFormat="false" ht="15" hidden="false" customHeight="false" outlineLevel="0" collapsed="false">
      <c r="A581" s="29"/>
      <c r="B581" s="29"/>
      <c r="C581" s="31"/>
      <c r="D581" s="31"/>
      <c r="E581" s="35" t="str">
        <f aca="false">IF(OR(C581="",D581=""),"",MAX(1,D581-C581))</f>
        <v/>
      </c>
      <c r="F581" s="32"/>
      <c r="G581" s="36" t="str">
        <f aca="false">IF(B581="","",IFERROR(IF(N(INDEX(Fleet!$N$5:$N$79,MATCH(B581,Fleet!$A$5:$A$79,0)))&gt;0,INDEX(Fleet!$N$5:$N$79,MATCH(B581,Fleet!$A$5:$A$79,0)),Assumptions!$B$7),Assumptions!$B$7))</f>
        <v/>
      </c>
      <c r="H581" s="34" t="str">
        <f aca="false">IF(OR(F581="",G581=""),"",F581*G581)</f>
        <v/>
      </c>
      <c r="I581" s="32"/>
      <c r="J581" s="32"/>
      <c r="K581" s="37"/>
      <c r="L581" s="38" t="str">
        <f aca="false">IF(C581="","",DATE(YEAR(C581),MONTH(C581),1))</f>
        <v/>
      </c>
      <c r="M581" s="34" t="str">
        <f aca="false">IF(F581="","",N(H581)+N(I581)-N(J581))</f>
        <v/>
      </c>
      <c r="N581" s="29"/>
    </row>
    <row r="582" customFormat="false" ht="15" hidden="false" customHeight="false" outlineLevel="0" collapsed="false">
      <c r="A582" s="29"/>
      <c r="B582" s="29"/>
      <c r="C582" s="31"/>
      <c r="D582" s="31"/>
      <c r="E582" s="35" t="str">
        <f aca="false">IF(OR(C582="",D582=""),"",MAX(1,D582-C582))</f>
        <v/>
      </c>
      <c r="F582" s="32"/>
      <c r="G582" s="36" t="str">
        <f aca="false">IF(B582="","",IFERROR(IF(N(INDEX(Fleet!$N$5:$N$79,MATCH(B582,Fleet!$A$5:$A$79,0)))&gt;0,INDEX(Fleet!$N$5:$N$79,MATCH(B582,Fleet!$A$5:$A$79,0)),Assumptions!$B$7),Assumptions!$B$7))</f>
        <v/>
      </c>
      <c r="H582" s="34" t="str">
        <f aca="false">IF(OR(F582="",G582=""),"",F582*G582)</f>
        <v/>
      </c>
      <c r="I582" s="32"/>
      <c r="J582" s="32"/>
      <c r="K582" s="37"/>
      <c r="L582" s="38" t="str">
        <f aca="false">IF(C582="","",DATE(YEAR(C582),MONTH(C582),1))</f>
        <v/>
      </c>
      <c r="M582" s="34" t="str">
        <f aca="false">IF(F582="","",N(H582)+N(I582)-N(J582))</f>
        <v/>
      </c>
      <c r="N582" s="29"/>
    </row>
    <row r="583" customFormat="false" ht="15" hidden="false" customHeight="false" outlineLevel="0" collapsed="false">
      <c r="A583" s="29"/>
      <c r="B583" s="29"/>
      <c r="C583" s="31"/>
      <c r="D583" s="31"/>
      <c r="E583" s="35" t="str">
        <f aca="false">IF(OR(C583="",D583=""),"",MAX(1,D583-C583))</f>
        <v/>
      </c>
      <c r="F583" s="32"/>
      <c r="G583" s="36" t="str">
        <f aca="false">IF(B583="","",IFERROR(IF(N(INDEX(Fleet!$N$5:$N$79,MATCH(B583,Fleet!$A$5:$A$79,0)))&gt;0,INDEX(Fleet!$N$5:$N$79,MATCH(B583,Fleet!$A$5:$A$79,0)),Assumptions!$B$7),Assumptions!$B$7))</f>
        <v/>
      </c>
      <c r="H583" s="34" t="str">
        <f aca="false">IF(OR(F583="",G583=""),"",F583*G583)</f>
        <v/>
      </c>
      <c r="I583" s="32"/>
      <c r="J583" s="32"/>
      <c r="K583" s="37"/>
      <c r="L583" s="38" t="str">
        <f aca="false">IF(C583="","",DATE(YEAR(C583),MONTH(C583),1))</f>
        <v/>
      </c>
      <c r="M583" s="34" t="str">
        <f aca="false">IF(F583="","",N(H583)+N(I583)-N(J583))</f>
        <v/>
      </c>
      <c r="N583" s="29"/>
    </row>
    <row r="584" customFormat="false" ht="15" hidden="false" customHeight="false" outlineLevel="0" collapsed="false">
      <c r="A584" s="29"/>
      <c r="B584" s="29"/>
      <c r="C584" s="31"/>
      <c r="D584" s="31"/>
      <c r="E584" s="35" t="str">
        <f aca="false">IF(OR(C584="",D584=""),"",MAX(1,D584-C584))</f>
        <v/>
      </c>
      <c r="F584" s="32"/>
      <c r="G584" s="36" t="str">
        <f aca="false">IF(B584="","",IFERROR(IF(N(INDEX(Fleet!$N$5:$N$79,MATCH(B584,Fleet!$A$5:$A$79,0)))&gt;0,INDEX(Fleet!$N$5:$N$79,MATCH(B584,Fleet!$A$5:$A$79,0)),Assumptions!$B$7),Assumptions!$B$7))</f>
        <v/>
      </c>
      <c r="H584" s="34" t="str">
        <f aca="false">IF(OR(F584="",G584=""),"",F584*G584)</f>
        <v/>
      </c>
      <c r="I584" s="32"/>
      <c r="J584" s="32"/>
      <c r="K584" s="37"/>
      <c r="L584" s="38" t="str">
        <f aca="false">IF(C584="","",DATE(YEAR(C584),MONTH(C584),1))</f>
        <v/>
      </c>
      <c r="M584" s="34" t="str">
        <f aca="false">IF(F584="","",N(H584)+N(I584)-N(J584))</f>
        <v/>
      </c>
      <c r="N584" s="29"/>
    </row>
    <row r="585" customFormat="false" ht="15" hidden="false" customHeight="false" outlineLevel="0" collapsed="false">
      <c r="A585" s="29"/>
      <c r="B585" s="29"/>
      <c r="C585" s="31"/>
      <c r="D585" s="31"/>
      <c r="E585" s="35" t="str">
        <f aca="false">IF(OR(C585="",D585=""),"",MAX(1,D585-C585))</f>
        <v/>
      </c>
      <c r="F585" s="32"/>
      <c r="G585" s="36" t="str">
        <f aca="false">IF(B585="","",IFERROR(IF(N(INDEX(Fleet!$N$5:$N$79,MATCH(B585,Fleet!$A$5:$A$79,0)))&gt;0,INDEX(Fleet!$N$5:$N$79,MATCH(B585,Fleet!$A$5:$A$79,0)),Assumptions!$B$7),Assumptions!$B$7))</f>
        <v/>
      </c>
      <c r="H585" s="34" t="str">
        <f aca="false">IF(OR(F585="",G585=""),"",F585*G585)</f>
        <v/>
      </c>
      <c r="I585" s="32"/>
      <c r="J585" s="32"/>
      <c r="K585" s="37"/>
      <c r="L585" s="38" t="str">
        <f aca="false">IF(C585="","",DATE(YEAR(C585),MONTH(C585),1))</f>
        <v/>
      </c>
      <c r="M585" s="34" t="str">
        <f aca="false">IF(F585="","",N(H585)+N(I585)-N(J585))</f>
        <v/>
      </c>
      <c r="N585" s="29"/>
    </row>
    <row r="586" customFormat="false" ht="15" hidden="false" customHeight="false" outlineLevel="0" collapsed="false">
      <c r="A586" s="29"/>
      <c r="B586" s="29"/>
      <c r="C586" s="31"/>
      <c r="D586" s="31"/>
      <c r="E586" s="35" t="str">
        <f aca="false">IF(OR(C586="",D586=""),"",MAX(1,D586-C586))</f>
        <v/>
      </c>
      <c r="F586" s="32"/>
      <c r="G586" s="36" t="str">
        <f aca="false">IF(B586="","",IFERROR(IF(N(INDEX(Fleet!$N$5:$N$79,MATCH(B586,Fleet!$A$5:$A$79,0)))&gt;0,INDEX(Fleet!$N$5:$N$79,MATCH(B586,Fleet!$A$5:$A$79,0)),Assumptions!$B$7),Assumptions!$B$7))</f>
        <v/>
      </c>
      <c r="H586" s="34" t="str">
        <f aca="false">IF(OR(F586="",G586=""),"",F586*G586)</f>
        <v/>
      </c>
      <c r="I586" s="32"/>
      <c r="J586" s="32"/>
      <c r="K586" s="37"/>
      <c r="L586" s="38" t="str">
        <f aca="false">IF(C586="","",DATE(YEAR(C586),MONTH(C586),1))</f>
        <v/>
      </c>
      <c r="M586" s="34" t="str">
        <f aca="false">IF(F586="","",N(H586)+N(I586)-N(J586))</f>
        <v/>
      </c>
      <c r="N586" s="29"/>
    </row>
    <row r="587" customFormat="false" ht="15" hidden="false" customHeight="false" outlineLevel="0" collapsed="false">
      <c r="A587" s="29"/>
      <c r="B587" s="29"/>
      <c r="C587" s="31"/>
      <c r="D587" s="31"/>
      <c r="E587" s="35" t="str">
        <f aca="false">IF(OR(C587="",D587=""),"",MAX(1,D587-C587))</f>
        <v/>
      </c>
      <c r="F587" s="32"/>
      <c r="G587" s="36" t="str">
        <f aca="false">IF(B587="","",IFERROR(IF(N(INDEX(Fleet!$N$5:$N$79,MATCH(B587,Fleet!$A$5:$A$79,0)))&gt;0,INDEX(Fleet!$N$5:$N$79,MATCH(B587,Fleet!$A$5:$A$79,0)),Assumptions!$B$7),Assumptions!$B$7))</f>
        <v/>
      </c>
      <c r="H587" s="34" t="str">
        <f aca="false">IF(OR(F587="",G587=""),"",F587*G587)</f>
        <v/>
      </c>
      <c r="I587" s="32"/>
      <c r="J587" s="32"/>
      <c r="K587" s="37"/>
      <c r="L587" s="38" t="str">
        <f aca="false">IF(C587="","",DATE(YEAR(C587),MONTH(C587),1))</f>
        <v/>
      </c>
      <c r="M587" s="34" t="str">
        <f aca="false">IF(F587="","",N(H587)+N(I587)-N(J587))</f>
        <v/>
      </c>
      <c r="N587" s="29"/>
    </row>
    <row r="588" customFormat="false" ht="15" hidden="false" customHeight="false" outlineLevel="0" collapsed="false">
      <c r="A588" s="29"/>
      <c r="B588" s="29"/>
      <c r="C588" s="31"/>
      <c r="D588" s="31"/>
      <c r="E588" s="35" t="str">
        <f aca="false">IF(OR(C588="",D588=""),"",MAX(1,D588-C588))</f>
        <v/>
      </c>
      <c r="F588" s="32"/>
      <c r="G588" s="36" t="str">
        <f aca="false">IF(B588="","",IFERROR(IF(N(INDEX(Fleet!$N$5:$N$79,MATCH(B588,Fleet!$A$5:$A$79,0)))&gt;0,INDEX(Fleet!$N$5:$N$79,MATCH(B588,Fleet!$A$5:$A$79,0)),Assumptions!$B$7),Assumptions!$B$7))</f>
        <v/>
      </c>
      <c r="H588" s="34" t="str">
        <f aca="false">IF(OR(F588="",G588=""),"",F588*G588)</f>
        <v/>
      </c>
      <c r="I588" s="32"/>
      <c r="J588" s="32"/>
      <c r="K588" s="37"/>
      <c r="L588" s="38" t="str">
        <f aca="false">IF(C588="","",DATE(YEAR(C588),MONTH(C588),1))</f>
        <v/>
      </c>
      <c r="M588" s="34" t="str">
        <f aca="false">IF(F588="","",N(H588)+N(I588)-N(J588))</f>
        <v/>
      </c>
      <c r="N588" s="29"/>
    </row>
    <row r="589" customFormat="false" ht="15" hidden="false" customHeight="false" outlineLevel="0" collapsed="false">
      <c r="A589" s="29"/>
      <c r="B589" s="29"/>
      <c r="C589" s="31"/>
      <c r="D589" s="31"/>
      <c r="E589" s="35" t="str">
        <f aca="false">IF(OR(C589="",D589=""),"",MAX(1,D589-C589))</f>
        <v/>
      </c>
      <c r="F589" s="32"/>
      <c r="G589" s="36" t="str">
        <f aca="false">IF(B589="","",IFERROR(IF(N(INDEX(Fleet!$N$5:$N$79,MATCH(B589,Fleet!$A$5:$A$79,0)))&gt;0,INDEX(Fleet!$N$5:$N$79,MATCH(B589,Fleet!$A$5:$A$79,0)),Assumptions!$B$7),Assumptions!$B$7))</f>
        <v/>
      </c>
      <c r="H589" s="34" t="str">
        <f aca="false">IF(OR(F589="",G589=""),"",F589*G589)</f>
        <v/>
      </c>
      <c r="I589" s="32"/>
      <c r="J589" s="32"/>
      <c r="K589" s="37"/>
      <c r="L589" s="38" t="str">
        <f aca="false">IF(C589="","",DATE(YEAR(C589),MONTH(C589),1))</f>
        <v/>
      </c>
      <c r="M589" s="34" t="str">
        <f aca="false">IF(F589="","",N(H589)+N(I589)-N(J589))</f>
        <v/>
      </c>
      <c r="N589" s="29"/>
    </row>
    <row r="590" customFormat="false" ht="15" hidden="false" customHeight="false" outlineLevel="0" collapsed="false">
      <c r="A590" s="29"/>
      <c r="B590" s="29"/>
      <c r="C590" s="31"/>
      <c r="D590" s="31"/>
      <c r="E590" s="35" t="str">
        <f aca="false">IF(OR(C590="",D590=""),"",MAX(1,D590-C590))</f>
        <v/>
      </c>
      <c r="F590" s="32"/>
      <c r="G590" s="36" t="str">
        <f aca="false">IF(B590="","",IFERROR(IF(N(INDEX(Fleet!$N$5:$N$79,MATCH(B590,Fleet!$A$5:$A$79,0)))&gt;0,INDEX(Fleet!$N$5:$N$79,MATCH(B590,Fleet!$A$5:$A$79,0)),Assumptions!$B$7),Assumptions!$B$7))</f>
        <v/>
      </c>
      <c r="H590" s="34" t="str">
        <f aca="false">IF(OR(F590="",G590=""),"",F590*G590)</f>
        <v/>
      </c>
      <c r="I590" s="32"/>
      <c r="J590" s="32"/>
      <c r="K590" s="37"/>
      <c r="L590" s="38" t="str">
        <f aca="false">IF(C590="","",DATE(YEAR(C590),MONTH(C590),1))</f>
        <v/>
      </c>
      <c r="M590" s="34" t="str">
        <f aca="false">IF(F590="","",N(H590)+N(I590)-N(J590))</f>
        <v/>
      </c>
      <c r="N590" s="29"/>
    </row>
    <row r="591" customFormat="false" ht="15" hidden="false" customHeight="false" outlineLevel="0" collapsed="false">
      <c r="A591" s="29"/>
      <c r="B591" s="29"/>
      <c r="C591" s="31"/>
      <c r="D591" s="31"/>
      <c r="E591" s="35" t="str">
        <f aca="false">IF(OR(C591="",D591=""),"",MAX(1,D591-C591))</f>
        <v/>
      </c>
      <c r="F591" s="32"/>
      <c r="G591" s="36" t="str">
        <f aca="false">IF(B591="","",IFERROR(IF(N(INDEX(Fleet!$N$5:$N$79,MATCH(B591,Fleet!$A$5:$A$79,0)))&gt;0,INDEX(Fleet!$N$5:$N$79,MATCH(B591,Fleet!$A$5:$A$79,0)),Assumptions!$B$7),Assumptions!$B$7))</f>
        <v/>
      </c>
      <c r="H591" s="34" t="str">
        <f aca="false">IF(OR(F591="",G591=""),"",F591*G591)</f>
        <v/>
      </c>
      <c r="I591" s="32"/>
      <c r="J591" s="32"/>
      <c r="K591" s="37"/>
      <c r="L591" s="38" t="str">
        <f aca="false">IF(C591="","",DATE(YEAR(C591),MONTH(C591),1))</f>
        <v/>
      </c>
      <c r="M591" s="34" t="str">
        <f aca="false">IF(F591="","",N(H591)+N(I591)-N(J591))</f>
        <v/>
      </c>
      <c r="N591" s="29"/>
    </row>
    <row r="592" customFormat="false" ht="15" hidden="false" customHeight="false" outlineLevel="0" collapsed="false">
      <c r="A592" s="29"/>
      <c r="B592" s="29"/>
      <c r="C592" s="31"/>
      <c r="D592" s="31"/>
      <c r="E592" s="35" t="str">
        <f aca="false">IF(OR(C592="",D592=""),"",MAX(1,D592-C592))</f>
        <v/>
      </c>
      <c r="F592" s="32"/>
      <c r="G592" s="36" t="str">
        <f aca="false">IF(B592="","",IFERROR(IF(N(INDEX(Fleet!$N$5:$N$79,MATCH(B592,Fleet!$A$5:$A$79,0)))&gt;0,INDEX(Fleet!$N$5:$N$79,MATCH(B592,Fleet!$A$5:$A$79,0)),Assumptions!$B$7),Assumptions!$B$7))</f>
        <v/>
      </c>
      <c r="H592" s="34" t="str">
        <f aca="false">IF(OR(F592="",G592=""),"",F592*G592)</f>
        <v/>
      </c>
      <c r="I592" s="32"/>
      <c r="J592" s="32"/>
      <c r="K592" s="37"/>
      <c r="L592" s="38" t="str">
        <f aca="false">IF(C592="","",DATE(YEAR(C592),MONTH(C592),1))</f>
        <v/>
      </c>
      <c r="M592" s="34" t="str">
        <f aca="false">IF(F592="","",N(H592)+N(I592)-N(J592))</f>
        <v/>
      </c>
      <c r="N592" s="29"/>
    </row>
    <row r="593" customFormat="false" ht="15" hidden="false" customHeight="false" outlineLevel="0" collapsed="false">
      <c r="A593" s="29"/>
      <c r="B593" s="29"/>
      <c r="C593" s="31"/>
      <c r="D593" s="31"/>
      <c r="E593" s="35" t="str">
        <f aca="false">IF(OR(C593="",D593=""),"",MAX(1,D593-C593))</f>
        <v/>
      </c>
      <c r="F593" s="32"/>
      <c r="G593" s="36" t="str">
        <f aca="false">IF(B593="","",IFERROR(IF(N(INDEX(Fleet!$N$5:$N$79,MATCH(B593,Fleet!$A$5:$A$79,0)))&gt;0,INDEX(Fleet!$N$5:$N$79,MATCH(B593,Fleet!$A$5:$A$79,0)),Assumptions!$B$7),Assumptions!$B$7))</f>
        <v/>
      </c>
      <c r="H593" s="34" t="str">
        <f aca="false">IF(OR(F593="",G593=""),"",F593*G593)</f>
        <v/>
      </c>
      <c r="I593" s="32"/>
      <c r="J593" s="32"/>
      <c r="K593" s="37"/>
      <c r="L593" s="38" t="str">
        <f aca="false">IF(C593="","",DATE(YEAR(C593),MONTH(C593),1))</f>
        <v/>
      </c>
      <c r="M593" s="34" t="str">
        <f aca="false">IF(F593="","",N(H593)+N(I593)-N(J593))</f>
        <v/>
      </c>
      <c r="N593" s="29"/>
    </row>
    <row r="594" customFormat="false" ht="15" hidden="false" customHeight="false" outlineLevel="0" collapsed="false">
      <c r="A594" s="29"/>
      <c r="B594" s="29"/>
      <c r="C594" s="31"/>
      <c r="D594" s="31"/>
      <c r="E594" s="35" t="str">
        <f aca="false">IF(OR(C594="",D594=""),"",MAX(1,D594-C594))</f>
        <v/>
      </c>
      <c r="F594" s="32"/>
      <c r="G594" s="36" t="str">
        <f aca="false">IF(B594="","",IFERROR(IF(N(INDEX(Fleet!$N$5:$N$79,MATCH(B594,Fleet!$A$5:$A$79,0)))&gt;0,INDEX(Fleet!$N$5:$N$79,MATCH(B594,Fleet!$A$5:$A$79,0)),Assumptions!$B$7),Assumptions!$B$7))</f>
        <v/>
      </c>
      <c r="H594" s="34" t="str">
        <f aca="false">IF(OR(F594="",G594=""),"",F594*G594)</f>
        <v/>
      </c>
      <c r="I594" s="32"/>
      <c r="J594" s="32"/>
      <c r="K594" s="37"/>
      <c r="L594" s="38" t="str">
        <f aca="false">IF(C594="","",DATE(YEAR(C594),MONTH(C594),1))</f>
        <v/>
      </c>
      <c r="M594" s="34" t="str">
        <f aca="false">IF(F594="","",N(H594)+N(I594)-N(J594))</f>
        <v/>
      </c>
      <c r="N594" s="29"/>
    </row>
    <row r="595" customFormat="false" ht="15" hidden="false" customHeight="false" outlineLevel="0" collapsed="false">
      <c r="A595" s="29"/>
      <c r="B595" s="29"/>
      <c r="C595" s="31"/>
      <c r="D595" s="31"/>
      <c r="E595" s="35" t="str">
        <f aca="false">IF(OR(C595="",D595=""),"",MAX(1,D595-C595))</f>
        <v/>
      </c>
      <c r="F595" s="32"/>
      <c r="G595" s="36" t="str">
        <f aca="false">IF(B595="","",IFERROR(IF(N(INDEX(Fleet!$N$5:$N$79,MATCH(B595,Fleet!$A$5:$A$79,0)))&gt;0,INDEX(Fleet!$N$5:$N$79,MATCH(B595,Fleet!$A$5:$A$79,0)),Assumptions!$B$7),Assumptions!$B$7))</f>
        <v/>
      </c>
      <c r="H595" s="34" t="str">
        <f aca="false">IF(OR(F595="",G595=""),"",F595*G595)</f>
        <v/>
      </c>
      <c r="I595" s="32"/>
      <c r="J595" s="32"/>
      <c r="K595" s="37"/>
      <c r="L595" s="38" t="str">
        <f aca="false">IF(C595="","",DATE(YEAR(C595),MONTH(C595),1))</f>
        <v/>
      </c>
      <c r="M595" s="34" t="str">
        <f aca="false">IF(F595="","",N(H595)+N(I595)-N(J595))</f>
        <v/>
      </c>
      <c r="N595" s="29"/>
    </row>
    <row r="596" customFormat="false" ht="15" hidden="false" customHeight="false" outlineLevel="0" collapsed="false">
      <c r="A596" s="29"/>
      <c r="B596" s="29"/>
      <c r="C596" s="31"/>
      <c r="D596" s="31"/>
      <c r="E596" s="35" t="str">
        <f aca="false">IF(OR(C596="",D596=""),"",MAX(1,D596-C596))</f>
        <v/>
      </c>
      <c r="F596" s="32"/>
      <c r="G596" s="36" t="str">
        <f aca="false">IF(B596="","",IFERROR(IF(N(INDEX(Fleet!$N$5:$N$79,MATCH(B596,Fleet!$A$5:$A$79,0)))&gt;0,INDEX(Fleet!$N$5:$N$79,MATCH(B596,Fleet!$A$5:$A$79,0)),Assumptions!$B$7),Assumptions!$B$7))</f>
        <v/>
      </c>
      <c r="H596" s="34" t="str">
        <f aca="false">IF(OR(F596="",G596=""),"",F596*G596)</f>
        <v/>
      </c>
      <c r="I596" s="32"/>
      <c r="J596" s="32"/>
      <c r="K596" s="37"/>
      <c r="L596" s="38" t="str">
        <f aca="false">IF(C596="","",DATE(YEAR(C596),MONTH(C596),1))</f>
        <v/>
      </c>
      <c r="M596" s="34" t="str">
        <f aca="false">IF(F596="","",N(H596)+N(I596)-N(J596))</f>
        <v/>
      </c>
      <c r="N596" s="29"/>
    </row>
    <row r="597" customFormat="false" ht="15" hidden="false" customHeight="false" outlineLevel="0" collapsed="false">
      <c r="A597" s="29"/>
      <c r="B597" s="29"/>
      <c r="C597" s="31"/>
      <c r="D597" s="31"/>
      <c r="E597" s="35" t="str">
        <f aca="false">IF(OR(C597="",D597=""),"",MAX(1,D597-C597))</f>
        <v/>
      </c>
      <c r="F597" s="32"/>
      <c r="G597" s="36" t="str">
        <f aca="false">IF(B597="","",IFERROR(IF(N(INDEX(Fleet!$N$5:$N$79,MATCH(B597,Fleet!$A$5:$A$79,0)))&gt;0,INDEX(Fleet!$N$5:$N$79,MATCH(B597,Fleet!$A$5:$A$79,0)),Assumptions!$B$7),Assumptions!$B$7))</f>
        <v/>
      </c>
      <c r="H597" s="34" t="str">
        <f aca="false">IF(OR(F597="",G597=""),"",F597*G597)</f>
        <v/>
      </c>
      <c r="I597" s="32"/>
      <c r="J597" s="32"/>
      <c r="K597" s="37"/>
      <c r="L597" s="38" t="str">
        <f aca="false">IF(C597="","",DATE(YEAR(C597),MONTH(C597),1))</f>
        <v/>
      </c>
      <c r="M597" s="34" t="str">
        <f aca="false">IF(F597="","",N(H597)+N(I597)-N(J597))</f>
        <v/>
      </c>
      <c r="N597" s="29"/>
    </row>
    <row r="598" customFormat="false" ht="15" hidden="false" customHeight="false" outlineLevel="0" collapsed="false">
      <c r="A598" s="29"/>
      <c r="B598" s="29"/>
      <c r="C598" s="31"/>
      <c r="D598" s="31"/>
      <c r="E598" s="35" t="str">
        <f aca="false">IF(OR(C598="",D598=""),"",MAX(1,D598-C598))</f>
        <v/>
      </c>
      <c r="F598" s="32"/>
      <c r="G598" s="36" t="str">
        <f aca="false">IF(B598="","",IFERROR(IF(N(INDEX(Fleet!$N$5:$N$79,MATCH(B598,Fleet!$A$5:$A$79,0)))&gt;0,INDEX(Fleet!$N$5:$N$79,MATCH(B598,Fleet!$A$5:$A$79,0)),Assumptions!$B$7),Assumptions!$B$7))</f>
        <v/>
      </c>
      <c r="H598" s="34" t="str">
        <f aca="false">IF(OR(F598="",G598=""),"",F598*G598)</f>
        <v/>
      </c>
      <c r="I598" s="32"/>
      <c r="J598" s="32"/>
      <c r="K598" s="37"/>
      <c r="L598" s="38" t="str">
        <f aca="false">IF(C598="","",DATE(YEAR(C598),MONTH(C598),1))</f>
        <v/>
      </c>
      <c r="M598" s="34" t="str">
        <f aca="false">IF(F598="","",N(H598)+N(I598)-N(J598))</f>
        <v/>
      </c>
      <c r="N598" s="29"/>
    </row>
    <row r="599" customFormat="false" ht="15" hidden="false" customHeight="false" outlineLevel="0" collapsed="false">
      <c r="A599" s="29"/>
      <c r="B599" s="29"/>
      <c r="C599" s="31"/>
      <c r="D599" s="31"/>
      <c r="E599" s="35" t="str">
        <f aca="false">IF(OR(C599="",D599=""),"",MAX(1,D599-C599))</f>
        <v/>
      </c>
      <c r="F599" s="32"/>
      <c r="G599" s="36" t="str">
        <f aca="false">IF(B599="","",IFERROR(IF(N(INDEX(Fleet!$N$5:$N$79,MATCH(B599,Fleet!$A$5:$A$79,0)))&gt;0,INDEX(Fleet!$N$5:$N$79,MATCH(B599,Fleet!$A$5:$A$79,0)),Assumptions!$B$7),Assumptions!$B$7))</f>
        <v/>
      </c>
      <c r="H599" s="34" t="str">
        <f aca="false">IF(OR(F599="",G599=""),"",F599*G599)</f>
        <v/>
      </c>
      <c r="I599" s="32"/>
      <c r="J599" s="32"/>
      <c r="K599" s="37"/>
      <c r="L599" s="38" t="str">
        <f aca="false">IF(C599="","",DATE(YEAR(C599),MONTH(C599),1))</f>
        <v/>
      </c>
      <c r="M599" s="34" t="str">
        <f aca="false">IF(F599="","",N(H599)+N(I599)-N(J599))</f>
        <v/>
      </c>
      <c r="N599" s="29"/>
    </row>
    <row r="600" customFormat="false" ht="15" hidden="false" customHeight="false" outlineLevel="0" collapsed="false">
      <c r="A600" s="29"/>
      <c r="B600" s="29"/>
      <c r="C600" s="31"/>
      <c r="D600" s="31"/>
      <c r="E600" s="35" t="str">
        <f aca="false">IF(OR(C600="",D600=""),"",MAX(1,D600-C600))</f>
        <v/>
      </c>
      <c r="F600" s="32"/>
      <c r="G600" s="36" t="str">
        <f aca="false">IF(B600="","",IFERROR(IF(N(INDEX(Fleet!$N$5:$N$79,MATCH(B600,Fleet!$A$5:$A$79,0)))&gt;0,INDEX(Fleet!$N$5:$N$79,MATCH(B600,Fleet!$A$5:$A$79,0)),Assumptions!$B$7),Assumptions!$B$7))</f>
        <v/>
      </c>
      <c r="H600" s="34" t="str">
        <f aca="false">IF(OR(F600="",G600=""),"",F600*G600)</f>
        <v/>
      </c>
      <c r="I600" s="32"/>
      <c r="J600" s="32"/>
      <c r="K600" s="37"/>
      <c r="L600" s="38" t="str">
        <f aca="false">IF(C600="","",DATE(YEAR(C600),MONTH(C600),1))</f>
        <v/>
      </c>
      <c r="M600" s="34" t="str">
        <f aca="false">IF(F600="","",N(H600)+N(I600)-N(J600))</f>
        <v/>
      </c>
      <c r="N600" s="29"/>
    </row>
    <row r="601" customFormat="false" ht="15" hidden="false" customHeight="false" outlineLevel="0" collapsed="false">
      <c r="A601" s="29"/>
      <c r="B601" s="29"/>
      <c r="C601" s="31"/>
      <c r="D601" s="31"/>
      <c r="E601" s="35" t="str">
        <f aca="false">IF(OR(C601="",D601=""),"",MAX(1,D601-C601))</f>
        <v/>
      </c>
      <c r="F601" s="32"/>
      <c r="G601" s="36" t="str">
        <f aca="false">IF(B601="","",IFERROR(IF(N(INDEX(Fleet!$N$5:$N$79,MATCH(B601,Fleet!$A$5:$A$79,0)))&gt;0,INDEX(Fleet!$N$5:$N$79,MATCH(B601,Fleet!$A$5:$A$79,0)),Assumptions!$B$7),Assumptions!$B$7))</f>
        <v/>
      </c>
      <c r="H601" s="34" t="str">
        <f aca="false">IF(OR(F601="",G601=""),"",F601*G601)</f>
        <v/>
      </c>
      <c r="I601" s="32"/>
      <c r="J601" s="32"/>
      <c r="K601" s="37"/>
      <c r="L601" s="38" t="str">
        <f aca="false">IF(C601="","",DATE(YEAR(C601),MONTH(C601),1))</f>
        <v/>
      </c>
      <c r="M601" s="34" t="str">
        <f aca="false">IF(F601="","",N(H601)+N(I601)-N(J601))</f>
        <v/>
      </c>
      <c r="N601" s="29"/>
    </row>
    <row r="602" customFormat="false" ht="15" hidden="false" customHeight="false" outlineLevel="0" collapsed="false">
      <c r="A602" s="29"/>
      <c r="B602" s="29"/>
      <c r="C602" s="31"/>
      <c r="D602" s="31"/>
      <c r="E602" s="35" t="str">
        <f aca="false">IF(OR(C602="",D602=""),"",MAX(1,D602-C602))</f>
        <v/>
      </c>
      <c r="F602" s="32"/>
      <c r="G602" s="36" t="str">
        <f aca="false">IF(B602="","",IFERROR(IF(N(INDEX(Fleet!$N$5:$N$79,MATCH(B602,Fleet!$A$5:$A$79,0)))&gt;0,INDEX(Fleet!$N$5:$N$79,MATCH(B602,Fleet!$A$5:$A$79,0)),Assumptions!$B$7),Assumptions!$B$7))</f>
        <v/>
      </c>
      <c r="H602" s="34" t="str">
        <f aca="false">IF(OR(F602="",G602=""),"",F602*G602)</f>
        <v/>
      </c>
      <c r="I602" s="32"/>
      <c r="J602" s="32"/>
      <c r="K602" s="37"/>
      <c r="L602" s="38" t="str">
        <f aca="false">IF(C602="","",DATE(YEAR(C602),MONTH(C602),1))</f>
        <v/>
      </c>
      <c r="M602" s="34" t="str">
        <f aca="false">IF(F602="","",N(H602)+N(I602)-N(J602))</f>
        <v/>
      </c>
      <c r="N602" s="29"/>
    </row>
    <row r="603" customFormat="false" ht="15" hidden="false" customHeight="false" outlineLevel="0" collapsed="false">
      <c r="A603" s="29"/>
      <c r="B603" s="29"/>
      <c r="C603" s="31"/>
      <c r="D603" s="31"/>
      <c r="E603" s="35" t="str">
        <f aca="false">IF(OR(C603="",D603=""),"",MAX(1,D603-C603))</f>
        <v/>
      </c>
      <c r="F603" s="32"/>
      <c r="G603" s="36" t="str">
        <f aca="false">IF(B603="","",IFERROR(IF(N(INDEX(Fleet!$N$5:$N$79,MATCH(B603,Fleet!$A$5:$A$79,0)))&gt;0,INDEX(Fleet!$N$5:$N$79,MATCH(B603,Fleet!$A$5:$A$79,0)),Assumptions!$B$7),Assumptions!$B$7))</f>
        <v/>
      </c>
      <c r="H603" s="34" t="str">
        <f aca="false">IF(OR(F603="",G603=""),"",F603*G603)</f>
        <v/>
      </c>
      <c r="I603" s="32"/>
      <c r="J603" s="32"/>
      <c r="K603" s="37"/>
      <c r="L603" s="38" t="str">
        <f aca="false">IF(C603="","",DATE(YEAR(C603),MONTH(C603),1))</f>
        <v/>
      </c>
      <c r="M603" s="34" t="str">
        <f aca="false">IF(F603="","",N(H603)+N(I603)-N(J603))</f>
        <v/>
      </c>
      <c r="N603" s="29"/>
    </row>
    <row r="604" customFormat="false" ht="15" hidden="false" customHeight="false" outlineLevel="0" collapsed="false">
      <c r="A604" s="29"/>
      <c r="B604" s="29"/>
      <c r="C604" s="31"/>
      <c r="D604" s="31"/>
      <c r="E604" s="35" t="str">
        <f aca="false">IF(OR(C604="",D604=""),"",MAX(1,D604-C604))</f>
        <v/>
      </c>
      <c r="F604" s="32"/>
      <c r="G604" s="36" t="str">
        <f aca="false">IF(B604="","",IFERROR(IF(N(INDEX(Fleet!$N$5:$N$79,MATCH(B604,Fleet!$A$5:$A$79,0)))&gt;0,INDEX(Fleet!$N$5:$N$79,MATCH(B604,Fleet!$A$5:$A$79,0)),Assumptions!$B$7),Assumptions!$B$7))</f>
        <v/>
      </c>
      <c r="H604" s="34" t="str">
        <f aca="false">IF(OR(F604="",G604=""),"",F604*G604)</f>
        <v/>
      </c>
      <c r="I604" s="32"/>
      <c r="J604" s="32"/>
      <c r="K604" s="37"/>
      <c r="L604" s="38" t="str">
        <f aca="false">IF(C604="","",DATE(YEAR(C604),MONTH(C604),1))</f>
        <v/>
      </c>
      <c r="M604" s="34" t="str">
        <f aca="false">IF(F604="","",N(H604)+N(I604)-N(J604))</f>
        <v/>
      </c>
      <c r="N604" s="29"/>
    </row>
    <row r="605" customFormat="false" ht="15" hidden="false" customHeight="false" outlineLevel="0" collapsed="false">
      <c r="A605" s="29"/>
      <c r="B605" s="29"/>
      <c r="C605" s="31"/>
      <c r="D605" s="31"/>
      <c r="E605" s="35" t="str">
        <f aca="false">IF(OR(C605="",D605=""),"",MAX(1,D605-C605))</f>
        <v/>
      </c>
      <c r="F605" s="32"/>
      <c r="G605" s="36" t="str">
        <f aca="false">IF(B605="","",IFERROR(IF(N(INDEX(Fleet!$N$5:$N$79,MATCH(B605,Fleet!$A$5:$A$79,0)))&gt;0,INDEX(Fleet!$N$5:$N$79,MATCH(B605,Fleet!$A$5:$A$79,0)),Assumptions!$B$7),Assumptions!$B$7))</f>
        <v/>
      </c>
      <c r="H605" s="34" t="str">
        <f aca="false">IF(OR(F605="",G605=""),"",F605*G605)</f>
        <v/>
      </c>
      <c r="I605" s="32"/>
      <c r="J605" s="32"/>
      <c r="K605" s="37"/>
      <c r="L605" s="38" t="str">
        <f aca="false">IF(C605="","",DATE(YEAR(C605),MONTH(C605),1))</f>
        <v/>
      </c>
      <c r="M605" s="34" t="str">
        <f aca="false">IF(F605="","",N(H605)+N(I605)-N(J605))</f>
        <v/>
      </c>
      <c r="N605" s="29"/>
    </row>
    <row r="606" customFormat="false" ht="15" hidden="false" customHeight="false" outlineLevel="0" collapsed="false">
      <c r="A606" s="29"/>
      <c r="B606" s="29"/>
      <c r="C606" s="31"/>
      <c r="D606" s="31"/>
      <c r="E606" s="35" t="str">
        <f aca="false">IF(OR(C606="",D606=""),"",MAX(1,D606-C606))</f>
        <v/>
      </c>
      <c r="F606" s="32"/>
      <c r="G606" s="36" t="str">
        <f aca="false">IF(B606="","",IFERROR(IF(N(INDEX(Fleet!$N$5:$N$79,MATCH(B606,Fleet!$A$5:$A$79,0)))&gt;0,INDEX(Fleet!$N$5:$N$79,MATCH(B606,Fleet!$A$5:$A$79,0)),Assumptions!$B$7),Assumptions!$B$7))</f>
        <v/>
      </c>
      <c r="H606" s="34" t="str">
        <f aca="false">IF(OR(F606="",G606=""),"",F606*G606)</f>
        <v/>
      </c>
      <c r="I606" s="32"/>
      <c r="J606" s="32"/>
      <c r="K606" s="37"/>
      <c r="L606" s="38" t="str">
        <f aca="false">IF(C606="","",DATE(YEAR(C606),MONTH(C606),1))</f>
        <v/>
      </c>
      <c r="M606" s="34" t="str">
        <f aca="false">IF(F606="","",N(H606)+N(I606)-N(J606))</f>
        <v/>
      </c>
      <c r="N606" s="29"/>
    </row>
    <row r="607" customFormat="false" ht="15" hidden="false" customHeight="false" outlineLevel="0" collapsed="false">
      <c r="A607" s="29"/>
      <c r="B607" s="29"/>
      <c r="C607" s="31"/>
      <c r="D607" s="31"/>
      <c r="E607" s="35" t="str">
        <f aca="false">IF(OR(C607="",D607=""),"",MAX(1,D607-C607))</f>
        <v/>
      </c>
      <c r="F607" s="32"/>
      <c r="G607" s="36" t="str">
        <f aca="false">IF(B607="","",IFERROR(IF(N(INDEX(Fleet!$N$5:$N$79,MATCH(B607,Fleet!$A$5:$A$79,0)))&gt;0,INDEX(Fleet!$N$5:$N$79,MATCH(B607,Fleet!$A$5:$A$79,0)),Assumptions!$B$7),Assumptions!$B$7))</f>
        <v/>
      </c>
      <c r="H607" s="34" t="str">
        <f aca="false">IF(OR(F607="",G607=""),"",F607*G607)</f>
        <v/>
      </c>
      <c r="I607" s="32"/>
      <c r="J607" s="32"/>
      <c r="K607" s="37"/>
      <c r="L607" s="38" t="str">
        <f aca="false">IF(C607="","",DATE(YEAR(C607),MONTH(C607),1))</f>
        <v/>
      </c>
      <c r="M607" s="34" t="str">
        <f aca="false">IF(F607="","",N(H607)+N(I607)-N(J607))</f>
        <v/>
      </c>
      <c r="N607" s="29"/>
    </row>
    <row r="608" customFormat="false" ht="15" hidden="false" customHeight="false" outlineLevel="0" collapsed="false">
      <c r="A608" s="29"/>
      <c r="B608" s="29"/>
      <c r="C608" s="31"/>
      <c r="D608" s="31"/>
      <c r="E608" s="35" t="str">
        <f aca="false">IF(OR(C608="",D608=""),"",MAX(1,D608-C608))</f>
        <v/>
      </c>
      <c r="F608" s="32"/>
      <c r="G608" s="36" t="str">
        <f aca="false">IF(B608="","",IFERROR(IF(N(INDEX(Fleet!$N$5:$N$79,MATCH(B608,Fleet!$A$5:$A$79,0)))&gt;0,INDEX(Fleet!$N$5:$N$79,MATCH(B608,Fleet!$A$5:$A$79,0)),Assumptions!$B$7),Assumptions!$B$7))</f>
        <v/>
      </c>
      <c r="H608" s="34" t="str">
        <f aca="false">IF(OR(F608="",G608=""),"",F608*G608)</f>
        <v/>
      </c>
      <c r="I608" s="32"/>
      <c r="J608" s="32"/>
      <c r="K608" s="37"/>
      <c r="L608" s="38" t="str">
        <f aca="false">IF(C608="","",DATE(YEAR(C608),MONTH(C608),1))</f>
        <v/>
      </c>
      <c r="M608" s="34" t="str">
        <f aca="false">IF(F608="","",N(H608)+N(I608)-N(J608))</f>
        <v/>
      </c>
      <c r="N608" s="29"/>
    </row>
    <row r="609" customFormat="false" ht="15" hidden="false" customHeight="false" outlineLevel="0" collapsed="false">
      <c r="A609" s="29"/>
      <c r="B609" s="29"/>
      <c r="C609" s="31"/>
      <c r="D609" s="31"/>
      <c r="E609" s="35" t="str">
        <f aca="false">IF(OR(C609="",D609=""),"",MAX(1,D609-C609))</f>
        <v/>
      </c>
      <c r="F609" s="32"/>
      <c r="G609" s="36" t="str">
        <f aca="false">IF(B609="","",IFERROR(IF(N(INDEX(Fleet!$N$5:$N$79,MATCH(B609,Fleet!$A$5:$A$79,0)))&gt;0,INDEX(Fleet!$N$5:$N$79,MATCH(B609,Fleet!$A$5:$A$79,0)),Assumptions!$B$7),Assumptions!$B$7))</f>
        <v/>
      </c>
      <c r="H609" s="34" t="str">
        <f aca="false">IF(OR(F609="",G609=""),"",F609*G609)</f>
        <v/>
      </c>
      <c r="I609" s="32"/>
      <c r="J609" s="32"/>
      <c r="K609" s="37"/>
      <c r="L609" s="38" t="str">
        <f aca="false">IF(C609="","",DATE(YEAR(C609),MONTH(C609),1))</f>
        <v/>
      </c>
      <c r="M609" s="34" t="str">
        <f aca="false">IF(F609="","",N(H609)+N(I609)-N(J609))</f>
        <v/>
      </c>
      <c r="N609" s="29"/>
    </row>
    <row r="610" customFormat="false" ht="15" hidden="false" customHeight="false" outlineLevel="0" collapsed="false">
      <c r="A610" s="29"/>
      <c r="B610" s="29"/>
      <c r="C610" s="31"/>
      <c r="D610" s="31"/>
      <c r="E610" s="35" t="str">
        <f aca="false">IF(OR(C610="",D610=""),"",MAX(1,D610-C610))</f>
        <v/>
      </c>
      <c r="F610" s="32"/>
      <c r="G610" s="36" t="str">
        <f aca="false">IF(B610="","",IFERROR(IF(N(INDEX(Fleet!$N$5:$N$79,MATCH(B610,Fleet!$A$5:$A$79,0)))&gt;0,INDEX(Fleet!$N$5:$N$79,MATCH(B610,Fleet!$A$5:$A$79,0)),Assumptions!$B$7),Assumptions!$B$7))</f>
        <v/>
      </c>
      <c r="H610" s="34" t="str">
        <f aca="false">IF(OR(F610="",G610=""),"",F610*G610)</f>
        <v/>
      </c>
      <c r="I610" s="32"/>
      <c r="J610" s="32"/>
      <c r="K610" s="37"/>
      <c r="L610" s="38" t="str">
        <f aca="false">IF(C610="","",DATE(YEAR(C610),MONTH(C610),1))</f>
        <v/>
      </c>
      <c r="M610" s="34" t="str">
        <f aca="false">IF(F610="","",N(H610)+N(I610)-N(J610))</f>
        <v/>
      </c>
      <c r="N610" s="29"/>
    </row>
    <row r="611" customFormat="false" ht="15" hidden="false" customHeight="false" outlineLevel="0" collapsed="false">
      <c r="A611" s="29"/>
      <c r="B611" s="29"/>
      <c r="C611" s="31"/>
      <c r="D611" s="31"/>
      <c r="E611" s="35" t="str">
        <f aca="false">IF(OR(C611="",D611=""),"",MAX(1,D611-C611))</f>
        <v/>
      </c>
      <c r="F611" s="32"/>
      <c r="G611" s="36" t="str">
        <f aca="false">IF(B611="","",IFERROR(IF(N(INDEX(Fleet!$N$5:$N$79,MATCH(B611,Fleet!$A$5:$A$79,0)))&gt;0,INDEX(Fleet!$N$5:$N$79,MATCH(B611,Fleet!$A$5:$A$79,0)),Assumptions!$B$7),Assumptions!$B$7))</f>
        <v/>
      </c>
      <c r="H611" s="34" t="str">
        <f aca="false">IF(OR(F611="",G611=""),"",F611*G611)</f>
        <v/>
      </c>
      <c r="I611" s="32"/>
      <c r="J611" s="32"/>
      <c r="K611" s="37"/>
      <c r="L611" s="38" t="str">
        <f aca="false">IF(C611="","",DATE(YEAR(C611),MONTH(C611),1))</f>
        <v/>
      </c>
      <c r="M611" s="34" t="str">
        <f aca="false">IF(F611="","",N(H611)+N(I611)-N(J611))</f>
        <v/>
      </c>
      <c r="N611" s="29"/>
    </row>
    <row r="612" customFormat="false" ht="15" hidden="false" customHeight="false" outlineLevel="0" collapsed="false">
      <c r="A612" s="29"/>
      <c r="B612" s="29"/>
      <c r="C612" s="31"/>
      <c r="D612" s="31"/>
      <c r="E612" s="35" t="str">
        <f aca="false">IF(OR(C612="",D612=""),"",MAX(1,D612-C612))</f>
        <v/>
      </c>
      <c r="F612" s="32"/>
      <c r="G612" s="36" t="str">
        <f aca="false">IF(B612="","",IFERROR(IF(N(INDEX(Fleet!$N$5:$N$79,MATCH(B612,Fleet!$A$5:$A$79,0)))&gt;0,INDEX(Fleet!$N$5:$N$79,MATCH(B612,Fleet!$A$5:$A$79,0)),Assumptions!$B$7),Assumptions!$B$7))</f>
        <v/>
      </c>
      <c r="H612" s="34" t="str">
        <f aca="false">IF(OR(F612="",G612=""),"",F612*G612)</f>
        <v/>
      </c>
      <c r="I612" s="32"/>
      <c r="J612" s="32"/>
      <c r="K612" s="37"/>
      <c r="L612" s="38" t="str">
        <f aca="false">IF(C612="","",DATE(YEAR(C612),MONTH(C612),1))</f>
        <v/>
      </c>
      <c r="M612" s="34" t="str">
        <f aca="false">IF(F612="","",N(H612)+N(I612)-N(J612))</f>
        <v/>
      </c>
      <c r="N612" s="29"/>
    </row>
    <row r="613" customFormat="false" ht="15" hidden="false" customHeight="false" outlineLevel="0" collapsed="false">
      <c r="A613" s="29"/>
      <c r="B613" s="29"/>
      <c r="C613" s="31"/>
      <c r="D613" s="31"/>
      <c r="E613" s="35" t="str">
        <f aca="false">IF(OR(C613="",D613=""),"",MAX(1,D613-C613))</f>
        <v/>
      </c>
      <c r="F613" s="32"/>
      <c r="G613" s="36" t="str">
        <f aca="false">IF(B613="","",IFERROR(IF(N(INDEX(Fleet!$N$5:$N$79,MATCH(B613,Fleet!$A$5:$A$79,0)))&gt;0,INDEX(Fleet!$N$5:$N$79,MATCH(B613,Fleet!$A$5:$A$79,0)),Assumptions!$B$7),Assumptions!$B$7))</f>
        <v/>
      </c>
      <c r="H613" s="34" t="str">
        <f aca="false">IF(OR(F613="",G613=""),"",F613*G613)</f>
        <v/>
      </c>
      <c r="I613" s="32"/>
      <c r="J613" s="32"/>
      <c r="K613" s="37"/>
      <c r="L613" s="38" t="str">
        <f aca="false">IF(C613="","",DATE(YEAR(C613),MONTH(C613),1))</f>
        <v/>
      </c>
      <c r="M613" s="34" t="str">
        <f aca="false">IF(F613="","",N(H613)+N(I613)-N(J613))</f>
        <v/>
      </c>
      <c r="N613" s="29"/>
    </row>
    <row r="614" customFormat="false" ht="15" hidden="false" customHeight="false" outlineLevel="0" collapsed="false">
      <c r="A614" s="29"/>
      <c r="B614" s="29"/>
      <c r="C614" s="31"/>
      <c r="D614" s="31"/>
      <c r="E614" s="35" t="str">
        <f aca="false">IF(OR(C614="",D614=""),"",MAX(1,D614-C614))</f>
        <v/>
      </c>
      <c r="F614" s="32"/>
      <c r="G614" s="36" t="str">
        <f aca="false">IF(B614="","",IFERROR(IF(N(INDEX(Fleet!$N$5:$N$79,MATCH(B614,Fleet!$A$5:$A$79,0)))&gt;0,INDEX(Fleet!$N$5:$N$79,MATCH(B614,Fleet!$A$5:$A$79,0)),Assumptions!$B$7),Assumptions!$B$7))</f>
        <v/>
      </c>
      <c r="H614" s="34" t="str">
        <f aca="false">IF(OR(F614="",G614=""),"",F614*G614)</f>
        <v/>
      </c>
      <c r="I614" s="32"/>
      <c r="J614" s="32"/>
      <c r="K614" s="37"/>
      <c r="L614" s="38" t="str">
        <f aca="false">IF(C614="","",DATE(YEAR(C614),MONTH(C614),1))</f>
        <v/>
      </c>
      <c r="M614" s="34" t="str">
        <f aca="false">IF(F614="","",N(H614)+N(I614)-N(J614))</f>
        <v/>
      </c>
      <c r="N614" s="29"/>
    </row>
    <row r="615" customFormat="false" ht="15" hidden="false" customHeight="false" outlineLevel="0" collapsed="false">
      <c r="A615" s="29"/>
      <c r="B615" s="29"/>
      <c r="C615" s="31"/>
      <c r="D615" s="31"/>
      <c r="E615" s="35" t="str">
        <f aca="false">IF(OR(C615="",D615=""),"",MAX(1,D615-C615))</f>
        <v/>
      </c>
      <c r="F615" s="32"/>
      <c r="G615" s="36" t="str">
        <f aca="false">IF(B615="","",IFERROR(IF(N(INDEX(Fleet!$N$5:$N$79,MATCH(B615,Fleet!$A$5:$A$79,0)))&gt;0,INDEX(Fleet!$N$5:$N$79,MATCH(B615,Fleet!$A$5:$A$79,0)),Assumptions!$B$7),Assumptions!$B$7))</f>
        <v/>
      </c>
      <c r="H615" s="34" t="str">
        <f aca="false">IF(OR(F615="",G615=""),"",F615*G615)</f>
        <v/>
      </c>
      <c r="I615" s="32"/>
      <c r="J615" s="32"/>
      <c r="K615" s="37"/>
      <c r="L615" s="38" t="str">
        <f aca="false">IF(C615="","",DATE(YEAR(C615),MONTH(C615),1))</f>
        <v/>
      </c>
      <c r="M615" s="34" t="str">
        <f aca="false">IF(F615="","",N(H615)+N(I615)-N(J615))</f>
        <v/>
      </c>
      <c r="N615" s="29"/>
    </row>
    <row r="616" customFormat="false" ht="15" hidden="false" customHeight="false" outlineLevel="0" collapsed="false">
      <c r="A616" s="29"/>
      <c r="B616" s="29"/>
      <c r="C616" s="31"/>
      <c r="D616" s="31"/>
      <c r="E616" s="35" t="str">
        <f aca="false">IF(OR(C616="",D616=""),"",MAX(1,D616-C616))</f>
        <v/>
      </c>
      <c r="F616" s="32"/>
      <c r="G616" s="36" t="str">
        <f aca="false">IF(B616="","",IFERROR(IF(N(INDEX(Fleet!$N$5:$N$79,MATCH(B616,Fleet!$A$5:$A$79,0)))&gt;0,INDEX(Fleet!$N$5:$N$79,MATCH(B616,Fleet!$A$5:$A$79,0)),Assumptions!$B$7),Assumptions!$B$7))</f>
        <v/>
      </c>
      <c r="H616" s="34" t="str">
        <f aca="false">IF(OR(F616="",G616=""),"",F616*G616)</f>
        <v/>
      </c>
      <c r="I616" s="32"/>
      <c r="J616" s="32"/>
      <c r="K616" s="37"/>
      <c r="L616" s="38" t="str">
        <f aca="false">IF(C616="","",DATE(YEAR(C616),MONTH(C616),1))</f>
        <v/>
      </c>
      <c r="M616" s="34" t="str">
        <f aca="false">IF(F616="","",N(H616)+N(I616)-N(J616))</f>
        <v/>
      </c>
      <c r="N616" s="29"/>
    </row>
    <row r="617" customFormat="false" ht="15" hidden="false" customHeight="false" outlineLevel="0" collapsed="false">
      <c r="A617" s="29"/>
      <c r="B617" s="29"/>
      <c r="C617" s="31"/>
      <c r="D617" s="31"/>
      <c r="E617" s="35" t="str">
        <f aca="false">IF(OR(C617="",D617=""),"",MAX(1,D617-C617))</f>
        <v/>
      </c>
      <c r="F617" s="32"/>
      <c r="G617" s="36" t="str">
        <f aca="false">IF(B617="","",IFERROR(IF(N(INDEX(Fleet!$N$5:$N$79,MATCH(B617,Fleet!$A$5:$A$79,0)))&gt;0,INDEX(Fleet!$N$5:$N$79,MATCH(B617,Fleet!$A$5:$A$79,0)),Assumptions!$B$7),Assumptions!$B$7))</f>
        <v/>
      </c>
      <c r="H617" s="34" t="str">
        <f aca="false">IF(OR(F617="",G617=""),"",F617*G617)</f>
        <v/>
      </c>
      <c r="I617" s="32"/>
      <c r="J617" s="32"/>
      <c r="K617" s="37"/>
      <c r="L617" s="38" t="str">
        <f aca="false">IF(C617="","",DATE(YEAR(C617),MONTH(C617),1))</f>
        <v/>
      </c>
      <c r="M617" s="34" t="str">
        <f aca="false">IF(F617="","",N(H617)+N(I617)-N(J617))</f>
        <v/>
      </c>
      <c r="N617" s="29"/>
    </row>
    <row r="618" customFormat="false" ht="15" hidden="false" customHeight="false" outlineLevel="0" collapsed="false">
      <c r="A618" s="29"/>
      <c r="B618" s="29"/>
      <c r="C618" s="31"/>
      <c r="D618" s="31"/>
      <c r="E618" s="35" t="str">
        <f aca="false">IF(OR(C618="",D618=""),"",MAX(1,D618-C618))</f>
        <v/>
      </c>
      <c r="F618" s="32"/>
      <c r="G618" s="36" t="str">
        <f aca="false">IF(B618="","",IFERROR(IF(N(INDEX(Fleet!$N$5:$N$79,MATCH(B618,Fleet!$A$5:$A$79,0)))&gt;0,INDEX(Fleet!$N$5:$N$79,MATCH(B618,Fleet!$A$5:$A$79,0)),Assumptions!$B$7),Assumptions!$B$7))</f>
        <v/>
      </c>
      <c r="H618" s="34" t="str">
        <f aca="false">IF(OR(F618="",G618=""),"",F618*G618)</f>
        <v/>
      </c>
      <c r="I618" s="32"/>
      <c r="J618" s="32"/>
      <c r="K618" s="37"/>
      <c r="L618" s="38" t="str">
        <f aca="false">IF(C618="","",DATE(YEAR(C618),MONTH(C618),1))</f>
        <v/>
      </c>
      <c r="M618" s="34" t="str">
        <f aca="false">IF(F618="","",N(H618)+N(I618)-N(J618))</f>
        <v/>
      </c>
      <c r="N618" s="29"/>
    </row>
    <row r="619" customFormat="false" ht="15" hidden="false" customHeight="false" outlineLevel="0" collapsed="false">
      <c r="A619" s="29"/>
      <c r="B619" s="29"/>
      <c r="C619" s="31"/>
      <c r="D619" s="31"/>
      <c r="E619" s="35" t="str">
        <f aca="false">IF(OR(C619="",D619=""),"",MAX(1,D619-C619))</f>
        <v/>
      </c>
      <c r="F619" s="32"/>
      <c r="G619" s="36" t="str">
        <f aca="false">IF(B619="","",IFERROR(IF(N(INDEX(Fleet!$N$5:$N$79,MATCH(B619,Fleet!$A$5:$A$79,0)))&gt;0,INDEX(Fleet!$N$5:$N$79,MATCH(B619,Fleet!$A$5:$A$79,0)),Assumptions!$B$7),Assumptions!$B$7))</f>
        <v/>
      </c>
      <c r="H619" s="34" t="str">
        <f aca="false">IF(OR(F619="",G619=""),"",F619*G619)</f>
        <v/>
      </c>
      <c r="I619" s="32"/>
      <c r="J619" s="32"/>
      <c r="K619" s="37"/>
      <c r="L619" s="38" t="str">
        <f aca="false">IF(C619="","",DATE(YEAR(C619),MONTH(C619),1))</f>
        <v/>
      </c>
      <c r="M619" s="34" t="str">
        <f aca="false">IF(F619="","",N(H619)+N(I619)-N(J619))</f>
        <v/>
      </c>
      <c r="N619" s="29"/>
    </row>
    <row r="620" customFormat="false" ht="15" hidden="false" customHeight="false" outlineLevel="0" collapsed="false">
      <c r="A620" s="29"/>
      <c r="B620" s="29"/>
      <c r="C620" s="31"/>
      <c r="D620" s="31"/>
      <c r="E620" s="35" t="str">
        <f aca="false">IF(OR(C620="",D620=""),"",MAX(1,D620-C620))</f>
        <v/>
      </c>
      <c r="F620" s="32"/>
      <c r="G620" s="36" t="str">
        <f aca="false">IF(B620="","",IFERROR(IF(N(INDEX(Fleet!$N$5:$N$79,MATCH(B620,Fleet!$A$5:$A$79,0)))&gt;0,INDEX(Fleet!$N$5:$N$79,MATCH(B620,Fleet!$A$5:$A$79,0)),Assumptions!$B$7),Assumptions!$B$7))</f>
        <v/>
      </c>
      <c r="H620" s="34" t="str">
        <f aca="false">IF(OR(F620="",G620=""),"",F620*G620)</f>
        <v/>
      </c>
      <c r="I620" s="32"/>
      <c r="J620" s="32"/>
      <c r="K620" s="37"/>
      <c r="L620" s="38" t="str">
        <f aca="false">IF(C620="","",DATE(YEAR(C620),MONTH(C620),1))</f>
        <v/>
      </c>
      <c r="M620" s="34" t="str">
        <f aca="false">IF(F620="","",N(H620)+N(I620)-N(J620))</f>
        <v/>
      </c>
      <c r="N620" s="29"/>
    </row>
    <row r="621" customFormat="false" ht="15" hidden="false" customHeight="false" outlineLevel="0" collapsed="false">
      <c r="A621" s="29"/>
      <c r="B621" s="29"/>
      <c r="C621" s="31"/>
      <c r="D621" s="31"/>
      <c r="E621" s="35" t="str">
        <f aca="false">IF(OR(C621="",D621=""),"",MAX(1,D621-C621))</f>
        <v/>
      </c>
      <c r="F621" s="32"/>
      <c r="G621" s="36" t="str">
        <f aca="false">IF(B621="","",IFERROR(IF(N(INDEX(Fleet!$N$5:$N$79,MATCH(B621,Fleet!$A$5:$A$79,0)))&gt;0,INDEX(Fleet!$N$5:$N$79,MATCH(B621,Fleet!$A$5:$A$79,0)),Assumptions!$B$7),Assumptions!$B$7))</f>
        <v/>
      </c>
      <c r="H621" s="34" t="str">
        <f aca="false">IF(OR(F621="",G621=""),"",F621*G621)</f>
        <v/>
      </c>
      <c r="I621" s="32"/>
      <c r="J621" s="32"/>
      <c r="K621" s="37"/>
      <c r="L621" s="38" t="str">
        <f aca="false">IF(C621="","",DATE(YEAR(C621),MONTH(C621),1))</f>
        <v/>
      </c>
      <c r="M621" s="34" t="str">
        <f aca="false">IF(F621="","",N(H621)+N(I621)-N(J621))</f>
        <v/>
      </c>
      <c r="N621" s="29"/>
    </row>
    <row r="622" customFormat="false" ht="15" hidden="false" customHeight="false" outlineLevel="0" collapsed="false">
      <c r="A622" s="29"/>
      <c r="B622" s="29"/>
      <c r="C622" s="31"/>
      <c r="D622" s="31"/>
      <c r="E622" s="35" t="str">
        <f aca="false">IF(OR(C622="",D622=""),"",MAX(1,D622-C622))</f>
        <v/>
      </c>
      <c r="F622" s="32"/>
      <c r="G622" s="36" t="str">
        <f aca="false">IF(B622="","",IFERROR(IF(N(INDEX(Fleet!$N$5:$N$79,MATCH(B622,Fleet!$A$5:$A$79,0)))&gt;0,INDEX(Fleet!$N$5:$N$79,MATCH(B622,Fleet!$A$5:$A$79,0)),Assumptions!$B$7),Assumptions!$B$7))</f>
        <v/>
      </c>
      <c r="H622" s="34" t="str">
        <f aca="false">IF(OR(F622="",G622=""),"",F622*G622)</f>
        <v/>
      </c>
      <c r="I622" s="32"/>
      <c r="J622" s="32"/>
      <c r="K622" s="37"/>
      <c r="L622" s="38" t="str">
        <f aca="false">IF(C622="","",DATE(YEAR(C622),MONTH(C622),1))</f>
        <v/>
      </c>
      <c r="M622" s="34" t="str">
        <f aca="false">IF(F622="","",N(H622)+N(I622)-N(J622))</f>
        <v/>
      </c>
      <c r="N622" s="29"/>
    </row>
    <row r="623" customFormat="false" ht="15" hidden="false" customHeight="false" outlineLevel="0" collapsed="false">
      <c r="A623" s="29"/>
      <c r="B623" s="29"/>
      <c r="C623" s="31"/>
      <c r="D623" s="31"/>
      <c r="E623" s="35" t="str">
        <f aca="false">IF(OR(C623="",D623=""),"",MAX(1,D623-C623))</f>
        <v/>
      </c>
      <c r="F623" s="32"/>
      <c r="G623" s="36" t="str">
        <f aca="false">IF(B623="","",IFERROR(IF(N(INDEX(Fleet!$N$5:$N$79,MATCH(B623,Fleet!$A$5:$A$79,0)))&gt;0,INDEX(Fleet!$N$5:$N$79,MATCH(B623,Fleet!$A$5:$A$79,0)),Assumptions!$B$7),Assumptions!$B$7))</f>
        <v/>
      </c>
      <c r="H623" s="34" t="str">
        <f aca="false">IF(OR(F623="",G623=""),"",F623*G623)</f>
        <v/>
      </c>
      <c r="I623" s="32"/>
      <c r="J623" s="32"/>
      <c r="K623" s="37"/>
      <c r="L623" s="38" t="str">
        <f aca="false">IF(C623="","",DATE(YEAR(C623),MONTH(C623),1))</f>
        <v/>
      </c>
      <c r="M623" s="34" t="str">
        <f aca="false">IF(F623="","",N(H623)+N(I623)-N(J623))</f>
        <v/>
      </c>
      <c r="N623" s="29"/>
    </row>
    <row r="624" customFormat="false" ht="15" hidden="false" customHeight="false" outlineLevel="0" collapsed="false">
      <c r="A624" s="29"/>
      <c r="B624" s="29"/>
      <c r="C624" s="31"/>
      <c r="D624" s="31"/>
      <c r="E624" s="35" t="str">
        <f aca="false">IF(OR(C624="",D624=""),"",MAX(1,D624-C624))</f>
        <v/>
      </c>
      <c r="F624" s="32"/>
      <c r="G624" s="36" t="str">
        <f aca="false">IF(B624="","",IFERROR(IF(N(INDEX(Fleet!$N$5:$N$79,MATCH(B624,Fleet!$A$5:$A$79,0)))&gt;0,INDEX(Fleet!$N$5:$N$79,MATCH(B624,Fleet!$A$5:$A$79,0)),Assumptions!$B$7),Assumptions!$B$7))</f>
        <v/>
      </c>
      <c r="H624" s="34" t="str">
        <f aca="false">IF(OR(F624="",G624=""),"",F624*G624)</f>
        <v/>
      </c>
      <c r="I624" s="32"/>
      <c r="J624" s="32"/>
      <c r="K624" s="37"/>
      <c r="L624" s="38" t="str">
        <f aca="false">IF(C624="","",DATE(YEAR(C624),MONTH(C624),1))</f>
        <v/>
      </c>
      <c r="M624" s="34" t="str">
        <f aca="false">IF(F624="","",N(H624)+N(I624)-N(J624))</f>
        <v/>
      </c>
      <c r="N624" s="29"/>
    </row>
    <row r="625" customFormat="false" ht="15" hidden="false" customHeight="false" outlineLevel="0" collapsed="false">
      <c r="A625" s="29"/>
      <c r="B625" s="29"/>
      <c r="C625" s="31"/>
      <c r="D625" s="31"/>
      <c r="E625" s="35" t="str">
        <f aca="false">IF(OR(C625="",D625=""),"",MAX(1,D625-C625))</f>
        <v/>
      </c>
      <c r="F625" s="32"/>
      <c r="G625" s="36" t="str">
        <f aca="false">IF(B625="","",IFERROR(IF(N(INDEX(Fleet!$N$5:$N$79,MATCH(B625,Fleet!$A$5:$A$79,0)))&gt;0,INDEX(Fleet!$N$5:$N$79,MATCH(B625,Fleet!$A$5:$A$79,0)),Assumptions!$B$7),Assumptions!$B$7))</f>
        <v/>
      </c>
      <c r="H625" s="34" t="str">
        <f aca="false">IF(OR(F625="",G625=""),"",F625*G625)</f>
        <v/>
      </c>
      <c r="I625" s="32"/>
      <c r="J625" s="32"/>
      <c r="K625" s="37"/>
      <c r="L625" s="38" t="str">
        <f aca="false">IF(C625="","",DATE(YEAR(C625),MONTH(C625),1))</f>
        <v/>
      </c>
      <c r="M625" s="34" t="str">
        <f aca="false">IF(F625="","",N(H625)+N(I625)-N(J625))</f>
        <v/>
      </c>
      <c r="N625" s="29"/>
    </row>
    <row r="626" customFormat="false" ht="15" hidden="false" customHeight="false" outlineLevel="0" collapsed="false">
      <c r="A626" s="29"/>
      <c r="B626" s="29"/>
      <c r="C626" s="31"/>
      <c r="D626" s="31"/>
      <c r="E626" s="35" t="str">
        <f aca="false">IF(OR(C626="",D626=""),"",MAX(1,D626-C626))</f>
        <v/>
      </c>
      <c r="F626" s="32"/>
      <c r="G626" s="36" t="str">
        <f aca="false">IF(B626="","",IFERROR(IF(N(INDEX(Fleet!$N$5:$N$79,MATCH(B626,Fleet!$A$5:$A$79,0)))&gt;0,INDEX(Fleet!$N$5:$N$79,MATCH(B626,Fleet!$A$5:$A$79,0)),Assumptions!$B$7),Assumptions!$B$7))</f>
        <v/>
      </c>
      <c r="H626" s="34" t="str">
        <f aca="false">IF(OR(F626="",G626=""),"",F626*G626)</f>
        <v/>
      </c>
      <c r="I626" s="32"/>
      <c r="J626" s="32"/>
      <c r="K626" s="37"/>
      <c r="L626" s="38" t="str">
        <f aca="false">IF(C626="","",DATE(YEAR(C626),MONTH(C626),1))</f>
        <v/>
      </c>
      <c r="M626" s="34" t="str">
        <f aca="false">IF(F626="","",N(H626)+N(I626)-N(J626))</f>
        <v/>
      </c>
      <c r="N626" s="29"/>
    </row>
    <row r="627" customFormat="false" ht="15" hidden="false" customHeight="false" outlineLevel="0" collapsed="false">
      <c r="A627" s="29"/>
      <c r="B627" s="29"/>
      <c r="C627" s="31"/>
      <c r="D627" s="31"/>
      <c r="E627" s="35" t="str">
        <f aca="false">IF(OR(C627="",D627=""),"",MAX(1,D627-C627))</f>
        <v/>
      </c>
      <c r="F627" s="32"/>
      <c r="G627" s="36" t="str">
        <f aca="false">IF(B627="","",IFERROR(IF(N(INDEX(Fleet!$N$5:$N$79,MATCH(B627,Fleet!$A$5:$A$79,0)))&gt;0,INDEX(Fleet!$N$5:$N$79,MATCH(B627,Fleet!$A$5:$A$79,0)),Assumptions!$B$7),Assumptions!$B$7))</f>
        <v/>
      </c>
      <c r="H627" s="34" t="str">
        <f aca="false">IF(OR(F627="",G627=""),"",F627*G627)</f>
        <v/>
      </c>
      <c r="I627" s="32"/>
      <c r="J627" s="32"/>
      <c r="K627" s="37"/>
      <c r="L627" s="38" t="str">
        <f aca="false">IF(C627="","",DATE(YEAR(C627),MONTH(C627),1))</f>
        <v/>
      </c>
      <c r="M627" s="34" t="str">
        <f aca="false">IF(F627="","",N(H627)+N(I627)-N(J627))</f>
        <v/>
      </c>
      <c r="N627" s="29"/>
    </row>
    <row r="628" customFormat="false" ht="15" hidden="false" customHeight="false" outlineLevel="0" collapsed="false">
      <c r="A628" s="29"/>
      <c r="B628" s="29"/>
      <c r="C628" s="31"/>
      <c r="D628" s="31"/>
      <c r="E628" s="35" t="str">
        <f aca="false">IF(OR(C628="",D628=""),"",MAX(1,D628-C628))</f>
        <v/>
      </c>
      <c r="F628" s="32"/>
      <c r="G628" s="36" t="str">
        <f aca="false">IF(B628="","",IFERROR(IF(N(INDEX(Fleet!$N$5:$N$79,MATCH(B628,Fleet!$A$5:$A$79,0)))&gt;0,INDEX(Fleet!$N$5:$N$79,MATCH(B628,Fleet!$A$5:$A$79,0)),Assumptions!$B$7),Assumptions!$B$7))</f>
        <v/>
      </c>
      <c r="H628" s="34" t="str">
        <f aca="false">IF(OR(F628="",G628=""),"",F628*G628)</f>
        <v/>
      </c>
      <c r="I628" s="32"/>
      <c r="J628" s="32"/>
      <c r="K628" s="37"/>
      <c r="L628" s="38" t="str">
        <f aca="false">IF(C628="","",DATE(YEAR(C628),MONTH(C628),1))</f>
        <v/>
      </c>
      <c r="M628" s="34" t="str">
        <f aca="false">IF(F628="","",N(H628)+N(I628)-N(J628))</f>
        <v/>
      </c>
      <c r="N628" s="29"/>
    </row>
    <row r="629" customFormat="false" ht="15" hidden="false" customHeight="false" outlineLevel="0" collapsed="false">
      <c r="A629" s="29"/>
      <c r="B629" s="29"/>
      <c r="C629" s="31"/>
      <c r="D629" s="31"/>
      <c r="E629" s="35" t="str">
        <f aca="false">IF(OR(C629="",D629=""),"",MAX(1,D629-C629))</f>
        <v/>
      </c>
      <c r="F629" s="32"/>
      <c r="G629" s="36" t="str">
        <f aca="false">IF(B629="","",IFERROR(IF(N(INDEX(Fleet!$N$5:$N$79,MATCH(B629,Fleet!$A$5:$A$79,0)))&gt;0,INDEX(Fleet!$N$5:$N$79,MATCH(B629,Fleet!$A$5:$A$79,0)),Assumptions!$B$7),Assumptions!$B$7))</f>
        <v/>
      </c>
      <c r="H629" s="34" t="str">
        <f aca="false">IF(OR(F629="",G629=""),"",F629*G629)</f>
        <v/>
      </c>
      <c r="I629" s="32"/>
      <c r="J629" s="32"/>
      <c r="K629" s="37"/>
      <c r="L629" s="38" t="str">
        <f aca="false">IF(C629="","",DATE(YEAR(C629),MONTH(C629),1))</f>
        <v/>
      </c>
      <c r="M629" s="34" t="str">
        <f aca="false">IF(F629="","",N(H629)+N(I629)-N(J629))</f>
        <v/>
      </c>
      <c r="N629" s="29"/>
    </row>
    <row r="630" customFormat="false" ht="15" hidden="false" customHeight="false" outlineLevel="0" collapsed="false">
      <c r="A630" s="29"/>
      <c r="B630" s="29"/>
      <c r="C630" s="31"/>
      <c r="D630" s="31"/>
      <c r="E630" s="35" t="str">
        <f aca="false">IF(OR(C630="",D630=""),"",MAX(1,D630-C630))</f>
        <v/>
      </c>
      <c r="F630" s="32"/>
      <c r="G630" s="36" t="str">
        <f aca="false">IF(B630="","",IFERROR(IF(N(INDEX(Fleet!$N$5:$N$79,MATCH(B630,Fleet!$A$5:$A$79,0)))&gt;0,INDEX(Fleet!$N$5:$N$79,MATCH(B630,Fleet!$A$5:$A$79,0)),Assumptions!$B$7),Assumptions!$B$7))</f>
        <v/>
      </c>
      <c r="H630" s="34" t="str">
        <f aca="false">IF(OR(F630="",G630=""),"",F630*G630)</f>
        <v/>
      </c>
      <c r="I630" s="32"/>
      <c r="J630" s="32"/>
      <c r="K630" s="37"/>
      <c r="L630" s="38" t="str">
        <f aca="false">IF(C630="","",DATE(YEAR(C630),MONTH(C630),1))</f>
        <v/>
      </c>
      <c r="M630" s="34" t="str">
        <f aca="false">IF(F630="","",N(H630)+N(I630)-N(J630))</f>
        <v/>
      </c>
      <c r="N630" s="29"/>
    </row>
    <row r="631" customFormat="false" ht="15" hidden="false" customHeight="false" outlineLevel="0" collapsed="false">
      <c r="A631" s="29"/>
      <c r="B631" s="29"/>
      <c r="C631" s="31"/>
      <c r="D631" s="31"/>
      <c r="E631" s="35" t="str">
        <f aca="false">IF(OR(C631="",D631=""),"",MAX(1,D631-C631))</f>
        <v/>
      </c>
      <c r="F631" s="32"/>
      <c r="G631" s="36" t="str">
        <f aca="false">IF(B631="","",IFERROR(IF(N(INDEX(Fleet!$N$5:$N$79,MATCH(B631,Fleet!$A$5:$A$79,0)))&gt;0,INDEX(Fleet!$N$5:$N$79,MATCH(B631,Fleet!$A$5:$A$79,0)),Assumptions!$B$7),Assumptions!$B$7))</f>
        <v/>
      </c>
      <c r="H631" s="34" t="str">
        <f aca="false">IF(OR(F631="",G631=""),"",F631*G631)</f>
        <v/>
      </c>
      <c r="I631" s="32"/>
      <c r="J631" s="32"/>
      <c r="K631" s="37"/>
      <c r="L631" s="38" t="str">
        <f aca="false">IF(C631="","",DATE(YEAR(C631),MONTH(C631),1))</f>
        <v/>
      </c>
      <c r="M631" s="34" t="str">
        <f aca="false">IF(F631="","",N(H631)+N(I631)-N(J631))</f>
        <v/>
      </c>
      <c r="N631" s="29"/>
    </row>
    <row r="632" customFormat="false" ht="15" hidden="false" customHeight="false" outlineLevel="0" collapsed="false">
      <c r="A632" s="29"/>
      <c r="B632" s="29"/>
      <c r="C632" s="31"/>
      <c r="D632" s="31"/>
      <c r="E632" s="35" t="str">
        <f aca="false">IF(OR(C632="",D632=""),"",MAX(1,D632-C632))</f>
        <v/>
      </c>
      <c r="F632" s="32"/>
      <c r="G632" s="36" t="str">
        <f aca="false">IF(B632="","",IFERROR(IF(N(INDEX(Fleet!$N$5:$N$79,MATCH(B632,Fleet!$A$5:$A$79,0)))&gt;0,INDEX(Fleet!$N$5:$N$79,MATCH(B632,Fleet!$A$5:$A$79,0)),Assumptions!$B$7),Assumptions!$B$7))</f>
        <v/>
      </c>
      <c r="H632" s="34" t="str">
        <f aca="false">IF(OR(F632="",G632=""),"",F632*G632)</f>
        <v/>
      </c>
      <c r="I632" s="32"/>
      <c r="J632" s="32"/>
      <c r="K632" s="37"/>
      <c r="L632" s="38" t="str">
        <f aca="false">IF(C632="","",DATE(YEAR(C632),MONTH(C632),1))</f>
        <v/>
      </c>
      <c r="M632" s="34" t="str">
        <f aca="false">IF(F632="","",N(H632)+N(I632)-N(J632))</f>
        <v/>
      </c>
      <c r="N632" s="29"/>
    </row>
    <row r="633" customFormat="false" ht="15" hidden="false" customHeight="false" outlineLevel="0" collapsed="false">
      <c r="A633" s="29"/>
      <c r="B633" s="29"/>
      <c r="C633" s="31"/>
      <c r="D633" s="31"/>
      <c r="E633" s="35" t="str">
        <f aca="false">IF(OR(C633="",D633=""),"",MAX(1,D633-C633))</f>
        <v/>
      </c>
      <c r="F633" s="32"/>
      <c r="G633" s="36" t="str">
        <f aca="false">IF(B633="","",IFERROR(IF(N(INDEX(Fleet!$N$5:$N$79,MATCH(B633,Fleet!$A$5:$A$79,0)))&gt;0,INDEX(Fleet!$N$5:$N$79,MATCH(B633,Fleet!$A$5:$A$79,0)),Assumptions!$B$7),Assumptions!$B$7))</f>
        <v/>
      </c>
      <c r="H633" s="34" t="str">
        <f aca="false">IF(OR(F633="",G633=""),"",F633*G633)</f>
        <v/>
      </c>
      <c r="I633" s="32"/>
      <c r="J633" s="32"/>
      <c r="K633" s="37"/>
      <c r="L633" s="38" t="str">
        <f aca="false">IF(C633="","",DATE(YEAR(C633),MONTH(C633),1))</f>
        <v/>
      </c>
      <c r="M633" s="34" t="str">
        <f aca="false">IF(F633="","",N(H633)+N(I633)-N(J633))</f>
        <v/>
      </c>
      <c r="N633" s="29"/>
    </row>
    <row r="634" customFormat="false" ht="15" hidden="false" customHeight="false" outlineLevel="0" collapsed="false">
      <c r="A634" s="29"/>
      <c r="B634" s="29"/>
      <c r="C634" s="31"/>
      <c r="D634" s="31"/>
      <c r="E634" s="35" t="str">
        <f aca="false">IF(OR(C634="",D634=""),"",MAX(1,D634-C634))</f>
        <v/>
      </c>
      <c r="F634" s="32"/>
      <c r="G634" s="36" t="str">
        <f aca="false">IF(B634="","",IFERROR(IF(N(INDEX(Fleet!$N$5:$N$79,MATCH(B634,Fleet!$A$5:$A$79,0)))&gt;0,INDEX(Fleet!$N$5:$N$79,MATCH(B634,Fleet!$A$5:$A$79,0)),Assumptions!$B$7),Assumptions!$B$7))</f>
        <v/>
      </c>
      <c r="H634" s="34" t="str">
        <f aca="false">IF(OR(F634="",G634=""),"",F634*G634)</f>
        <v/>
      </c>
      <c r="I634" s="32"/>
      <c r="J634" s="32"/>
      <c r="K634" s="37"/>
      <c r="L634" s="38" t="str">
        <f aca="false">IF(C634="","",DATE(YEAR(C634),MONTH(C634),1))</f>
        <v/>
      </c>
      <c r="M634" s="34" t="str">
        <f aca="false">IF(F634="","",N(H634)+N(I634)-N(J634))</f>
        <v/>
      </c>
      <c r="N634" s="29"/>
    </row>
    <row r="635" customFormat="false" ht="15" hidden="false" customHeight="false" outlineLevel="0" collapsed="false">
      <c r="A635" s="29"/>
      <c r="B635" s="29"/>
      <c r="C635" s="31"/>
      <c r="D635" s="31"/>
      <c r="E635" s="35" t="str">
        <f aca="false">IF(OR(C635="",D635=""),"",MAX(1,D635-C635))</f>
        <v/>
      </c>
      <c r="F635" s="32"/>
      <c r="G635" s="36" t="str">
        <f aca="false">IF(B635="","",IFERROR(IF(N(INDEX(Fleet!$N$5:$N$79,MATCH(B635,Fleet!$A$5:$A$79,0)))&gt;0,INDEX(Fleet!$N$5:$N$79,MATCH(B635,Fleet!$A$5:$A$79,0)),Assumptions!$B$7),Assumptions!$B$7))</f>
        <v/>
      </c>
      <c r="H635" s="34" t="str">
        <f aca="false">IF(OR(F635="",G635=""),"",F635*G635)</f>
        <v/>
      </c>
      <c r="I635" s="32"/>
      <c r="J635" s="32"/>
      <c r="K635" s="37"/>
      <c r="L635" s="38" t="str">
        <f aca="false">IF(C635="","",DATE(YEAR(C635),MONTH(C635),1))</f>
        <v/>
      </c>
      <c r="M635" s="34" t="str">
        <f aca="false">IF(F635="","",N(H635)+N(I635)-N(J635))</f>
        <v/>
      </c>
      <c r="N635" s="29"/>
    </row>
    <row r="636" customFormat="false" ht="15" hidden="false" customHeight="false" outlineLevel="0" collapsed="false">
      <c r="A636" s="29"/>
      <c r="B636" s="29"/>
      <c r="C636" s="31"/>
      <c r="D636" s="31"/>
      <c r="E636" s="35" t="str">
        <f aca="false">IF(OR(C636="",D636=""),"",MAX(1,D636-C636))</f>
        <v/>
      </c>
      <c r="F636" s="32"/>
      <c r="G636" s="36" t="str">
        <f aca="false">IF(B636="","",IFERROR(IF(N(INDEX(Fleet!$N$5:$N$79,MATCH(B636,Fleet!$A$5:$A$79,0)))&gt;0,INDEX(Fleet!$N$5:$N$79,MATCH(B636,Fleet!$A$5:$A$79,0)),Assumptions!$B$7),Assumptions!$B$7))</f>
        <v/>
      </c>
      <c r="H636" s="34" t="str">
        <f aca="false">IF(OR(F636="",G636=""),"",F636*G636)</f>
        <v/>
      </c>
      <c r="I636" s="32"/>
      <c r="J636" s="32"/>
      <c r="K636" s="37"/>
      <c r="L636" s="38" t="str">
        <f aca="false">IF(C636="","",DATE(YEAR(C636),MONTH(C636),1))</f>
        <v/>
      </c>
      <c r="M636" s="34" t="str">
        <f aca="false">IF(F636="","",N(H636)+N(I636)-N(J636))</f>
        <v/>
      </c>
      <c r="N636" s="29"/>
    </row>
    <row r="637" customFormat="false" ht="15" hidden="false" customHeight="false" outlineLevel="0" collapsed="false">
      <c r="A637" s="29"/>
      <c r="B637" s="29"/>
      <c r="C637" s="31"/>
      <c r="D637" s="31"/>
      <c r="E637" s="35" t="str">
        <f aca="false">IF(OR(C637="",D637=""),"",MAX(1,D637-C637))</f>
        <v/>
      </c>
      <c r="F637" s="32"/>
      <c r="G637" s="36" t="str">
        <f aca="false">IF(B637="","",IFERROR(IF(N(INDEX(Fleet!$N$5:$N$79,MATCH(B637,Fleet!$A$5:$A$79,0)))&gt;0,INDEX(Fleet!$N$5:$N$79,MATCH(B637,Fleet!$A$5:$A$79,0)),Assumptions!$B$7),Assumptions!$B$7))</f>
        <v/>
      </c>
      <c r="H637" s="34" t="str">
        <f aca="false">IF(OR(F637="",G637=""),"",F637*G637)</f>
        <v/>
      </c>
      <c r="I637" s="32"/>
      <c r="J637" s="32"/>
      <c r="K637" s="37"/>
      <c r="L637" s="38" t="str">
        <f aca="false">IF(C637="","",DATE(YEAR(C637),MONTH(C637),1))</f>
        <v/>
      </c>
      <c r="M637" s="34" t="str">
        <f aca="false">IF(F637="","",N(H637)+N(I637)-N(J637))</f>
        <v/>
      </c>
      <c r="N637" s="29"/>
    </row>
    <row r="638" customFormat="false" ht="15" hidden="false" customHeight="false" outlineLevel="0" collapsed="false">
      <c r="A638" s="29"/>
      <c r="B638" s="29"/>
      <c r="C638" s="31"/>
      <c r="D638" s="31"/>
      <c r="E638" s="35" t="str">
        <f aca="false">IF(OR(C638="",D638=""),"",MAX(1,D638-C638))</f>
        <v/>
      </c>
      <c r="F638" s="32"/>
      <c r="G638" s="36" t="str">
        <f aca="false">IF(B638="","",IFERROR(IF(N(INDEX(Fleet!$N$5:$N$79,MATCH(B638,Fleet!$A$5:$A$79,0)))&gt;0,INDEX(Fleet!$N$5:$N$79,MATCH(B638,Fleet!$A$5:$A$79,0)),Assumptions!$B$7),Assumptions!$B$7))</f>
        <v/>
      </c>
      <c r="H638" s="34" t="str">
        <f aca="false">IF(OR(F638="",G638=""),"",F638*G638)</f>
        <v/>
      </c>
      <c r="I638" s="32"/>
      <c r="J638" s="32"/>
      <c r="K638" s="37"/>
      <c r="L638" s="38" t="str">
        <f aca="false">IF(C638="","",DATE(YEAR(C638),MONTH(C638),1))</f>
        <v/>
      </c>
      <c r="M638" s="34" t="str">
        <f aca="false">IF(F638="","",N(H638)+N(I638)-N(J638))</f>
        <v/>
      </c>
      <c r="N638" s="29"/>
    </row>
    <row r="639" customFormat="false" ht="15" hidden="false" customHeight="false" outlineLevel="0" collapsed="false">
      <c r="A639" s="29"/>
      <c r="B639" s="29"/>
      <c r="C639" s="31"/>
      <c r="D639" s="31"/>
      <c r="E639" s="35" t="str">
        <f aca="false">IF(OR(C639="",D639=""),"",MAX(1,D639-C639))</f>
        <v/>
      </c>
      <c r="F639" s="32"/>
      <c r="G639" s="36" t="str">
        <f aca="false">IF(B639="","",IFERROR(IF(N(INDEX(Fleet!$N$5:$N$79,MATCH(B639,Fleet!$A$5:$A$79,0)))&gt;0,INDEX(Fleet!$N$5:$N$79,MATCH(B639,Fleet!$A$5:$A$79,0)),Assumptions!$B$7),Assumptions!$B$7))</f>
        <v/>
      </c>
      <c r="H639" s="34" t="str">
        <f aca="false">IF(OR(F639="",G639=""),"",F639*G639)</f>
        <v/>
      </c>
      <c r="I639" s="32"/>
      <c r="J639" s="32"/>
      <c r="K639" s="37"/>
      <c r="L639" s="38" t="str">
        <f aca="false">IF(C639="","",DATE(YEAR(C639),MONTH(C639),1))</f>
        <v/>
      </c>
      <c r="M639" s="34" t="str">
        <f aca="false">IF(F639="","",N(H639)+N(I639)-N(J639))</f>
        <v/>
      </c>
      <c r="N639" s="29"/>
    </row>
    <row r="640" customFormat="false" ht="15" hidden="false" customHeight="false" outlineLevel="0" collapsed="false">
      <c r="A640" s="29"/>
      <c r="B640" s="29"/>
      <c r="C640" s="31"/>
      <c r="D640" s="31"/>
      <c r="E640" s="35" t="str">
        <f aca="false">IF(OR(C640="",D640=""),"",MAX(1,D640-C640))</f>
        <v/>
      </c>
      <c r="F640" s="32"/>
      <c r="G640" s="36" t="str">
        <f aca="false">IF(B640="","",IFERROR(IF(N(INDEX(Fleet!$N$5:$N$79,MATCH(B640,Fleet!$A$5:$A$79,0)))&gt;0,INDEX(Fleet!$N$5:$N$79,MATCH(B640,Fleet!$A$5:$A$79,0)),Assumptions!$B$7),Assumptions!$B$7))</f>
        <v/>
      </c>
      <c r="H640" s="34" t="str">
        <f aca="false">IF(OR(F640="",G640=""),"",F640*G640)</f>
        <v/>
      </c>
      <c r="I640" s="32"/>
      <c r="J640" s="32"/>
      <c r="K640" s="37"/>
      <c r="L640" s="38" t="str">
        <f aca="false">IF(C640="","",DATE(YEAR(C640),MONTH(C640),1))</f>
        <v/>
      </c>
      <c r="M640" s="34" t="str">
        <f aca="false">IF(F640="","",N(H640)+N(I640)-N(J640))</f>
        <v/>
      </c>
      <c r="N640" s="29"/>
    </row>
    <row r="641" customFormat="false" ht="15" hidden="false" customHeight="false" outlineLevel="0" collapsed="false">
      <c r="A641" s="29"/>
      <c r="B641" s="29"/>
      <c r="C641" s="31"/>
      <c r="D641" s="31"/>
      <c r="E641" s="35" t="str">
        <f aca="false">IF(OR(C641="",D641=""),"",MAX(1,D641-C641))</f>
        <v/>
      </c>
      <c r="F641" s="32"/>
      <c r="G641" s="36" t="str">
        <f aca="false">IF(B641="","",IFERROR(IF(N(INDEX(Fleet!$N$5:$N$79,MATCH(B641,Fleet!$A$5:$A$79,0)))&gt;0,INDEX(Fleet!$N$5:$N$79,MATCH(B641,Fleet!$A$5:$A$79,0)),Assumptions!$B$7),Assumptions!$B$7))</f>
        <v/>
      </c>
      <c r="H641" s="34" t="str">
        <f aca="false">IF(OR(F641="",G641=""),"",F641*G641)</f>
        <v/>
      </c>
      <c r="I641" s="32"/>
      <c r="J641" s="32"/>
      <c r="K641" s="37"/>
      <c r="L641" s="38" t="str">
        <f aca="false">IF(C641="","",DATE(YEAR(C641),MONTH(C641),1))</f>
        <v/>
      </c>
      <c r="M641" s="34" t="str">
        <f aca="false">IF(F641="","",N(H641)+N(I641)-N(J641))</f>
        <v/>
      </c>
      <c r="N641" s="29"/>
    </row>
    <row r="642" customFormat="false" ht="15" hidden="false" customHeight="false" outlineLevel="0" collapsed="false">
      <c r="A642" s="29"/>
      <c r="B642" s="29"/>
      <c r="C642" s="31"/>
      <c r="D642" s="31"/>
      <c r="E642" s="35" t="str">
        <f aca="false">IF(OR(C642="",D642=""),"",MAX(1,D642-C642))</f>
        <v/>
      </c>
      <c r="F642" s="32"/>
      <c r="G642" s="36" t="str">
        <f aca="false">IF(B642="","",IFERROR(IF(N(INDEX(Fleet!$N$5:$N$79,MATCH(B642,Fleet!$A$5:$A$79,0)))&gt;0,INDEX(Fleet!$N$5:$N$79,MATCH(B642,Fleet!$A$5:$A$79,0)),Assumptions!$B$7),Assumptions!$B$7))</f>
        <v/>
      </c>
      <c r="H642" s="34" t="str">
        <f aca="false">IF(OR(F642="",G642=""),"",F642*G642)</f>
        <v/>
      </c>
      <c r="I642" s="32"/>
      <c r="J642" s="32"/>
      <c r="K642" s="37"/>
      <c r="L642" s="38" t="str">
        <f aca="false">IF(C642="","",DATE(YEAR(C642),MONTH(C642),1))</f>
        <v/>
      </c>
      <c r="M642" s="34" t="str">
        <f aca="false">IF(F642="","",N(H642)+N(I642)-N(J642))</f>
        <v/>
      </c>
      <c r="N642" s="29"/>
    </row>
    <row r="643" customFormat="false" ht="15" hidden="false" customHeight="false" outlineLevel="0" collapsed="false">
      <c r="A643" s="29"/>
      <c r="B643" s="29"/>
      <c r="C643" s="31"/>
      <c r="D643" s="31"/>
      <c r="E643" s="35" t="str">
        <f aca="false">IF(OR(C643="",D643=""),"",MAX(1,D643-C643))</f>
        <v/>
      </c>
      <c r="F643" s="32"/>
      <c r="G643" s="36" t="str">
        <f aca="false">IF(B643="","",IFERROR(IF(N(INDEX(Fleet!$N$5:$N$79,MATCH(B643,Fleet!$A$5:$A$79,0)))&gt;0,INDEX(Fleet!$N$5:$N$79,MATCH(B643,Fleet!$A$5:$A$79,0)),Assumptions!$B$7),Assumptions!$B$7))</f>
        <v/>
      </c>
      <c r="H643" s="34" t="str">
        <f aca="false">IF(OR(F643="",G643=""),"",F643*G643)</f>
        <v/>
      </c>
      <c r="I643" s="32"/>
      <c r="J643" s="32"/>
      <c r="K643" s="37"/>
      <c r="L643" s="38" t="str">
        <f aca="false">IF(C643="","",DATE(YEAR(C643),MONTH(C643),1))</f>
        <v/>
      </c>
      <c r="M643" s="34" t="str">
        <f aca="false">IF(F643="","",N(H643)+N(I643)-N(J643))</f>
        <v/>
      </c>
      <c r="N643" s="29"/>
    </row>
    <row r="644" customFormat="false" ht="15" hidden="false" customHeight="false" outlineLevel="0" collapsed="false">
      <c r="A644" s="29"/>
      <c r="B644" s="29"/>
      <c r="C644" s="31"/>
      <c r="D644" s="31"/>
      <c r="E644" s="35" t="str">
        <f aca="false">IF(OR(C644="",D644=""),"",MAX(1,D644-C644))</f>
        <v/>
      </c>
      <c r="F644" s="32"/>
      <c r="G644" s="36" t="str">
        <f aca="false">IF(B644="","",IFERROR(IF(N(INDEX(Fleet!$N$5:$N$79,MATCH(B644,Fleet!$A$5:$A$79,0)))&gt;0,INDEX(Fleet!$N$5:$N$79,MATCH(B644,Fleet!$A$5:$A$79,0)),Assumptions!$B$7),Assumptions!$B$7))</f>
        <v/>
      </c>
      <c r="H644" s="34" t="str">
        <f aca="false">IF(OR(F644="",G644=""),"",F644*G644)</f>
        <v/>
      </c>
      <c r="I644" s="32"/>
      <c r="J644" s="32"/>
      <c r="K644" s="37"/>
      <c r="L644" s="38" t="str">
        <f aca="false">IF(C644="","",DATE(YEAR(C644),MONTH(C644),1))</f>
        <v/>
      </c>
      <c r="M644" s="34" t="str">
        <f aca="false">IF(F644="","",N(H644)+N(I644)-N(J644))</f>
        <v/>
      </c>
      <c r="N644" s="29"/>
    </row>
    <row r="645" customFormat="false" ht="15" hidden="false" customHeight="false" outlineLevel="0" collapsed="false">
      <c r="A645" s="29"/>
      <c r="B645" s="29"/>
      <c r="C645" s="31"/>
      <c r="D645" s="31"/>
      <c r="E645" s="35" t="str">
        <f aca="false">IF(OR(C645="",D645=""),"",MAX(1,D645-C645))</f>
        <v/>
      </c>
      <c r="F645" s="32"/>
      <c r="G645" s="36" t="str">
        <f aca="false">IF(B645="","",IFERROR(IF(N(INDEX(Fleet!$N$5:$N$79,MATCH(B645,Fleet!$A$5:$A$79,0)))&gt;0,INDEX(Fleet!$N$5:$N$79,MATCH(B645,Fleet!$A$5:$A$79,0)),Assumptions!$B$7),Assumptions!$B$7))</f>
        <v/>
      </c>
      <c r="H645" s="34" t="str">
        <f aca="false">IF(OR(F645="",G645=""),"",F645*G645)</f>
        <v/>
      </c>
      <c r="I645" s="32"/>
      <c r="J645" s="32"/>
      <c r="K645" s="37"/>
      <c r="L645" s="38" t="str">
        <f aca="false">IF(C645="","",DATE(YEAR(C645),MONTH(C645),1))</f>
        <v/>
      </c>
      <c r="M645" s="34" t="str">
        <f aca="false">IF(F645="","",N(H645)+N(I645)-N(J645))</f>
        <v/>
      </c>
      <c r="N645" s="29"/>
    </row>
    <row r="646" customFormat="false" ht="15" hidden="false" customHeight="false" outlineLevel="0" collapsed="false">
      <c r="A646" s="29"/>
      <c r="B646" s="29"/>
      <c r="C646" s="31"/>
      <c r="D646" s="31"/>
      <c r="E646" s="35" t="str">
        <f aca="false">IF(OR(C646="",D646=""),"",MAX(1,D646-C646))</f>
        <v/>
      </c>
      <c r="F646" s="32"/>
      <c r="G646" s="36" t="str">
        <f aca="false">IF(B646="","",IFERROR(IF(N(INDEX(Fleet!$N$5:$N$79,MATCH(B646,Fleet!$A$5:$A$79,0)))&gt;0,INDEX(Fleet!$N$5:$N$79,MATCH(B646,Fleet!$A$5:$A$79,0)),Assumptions!$B$7),Assumptions!$B$7))</f>
        <v/>
      </c>
      <c r="H646" s="34" t="str">
        <f aca="false">IF(OR(F646="",G646=""),"",F646*G646)</f>
        <v/>
      </c>
      <c r="I646" s="32"/>
      <c r="J646" s="32"/>
      <c r="K646" s="37"/>
      <c r="L646" s="38" t="str">
        <f aca="false">IF(C646="","",DATE(YEAR(C646),MONTH(C646),1))</f>
        <v/>
      </c>
      <c r="M646" s="34" t="str">
        <f aca="false">IF(F646="","",N(H646)+N(I646)-N(J646))</f>
        <v/>
      </c>
      <c r="N646" s="29"/>
    </row>
    <row r="647" customFormat="false" ht="15" hidden="false" customHeight="false" outlineLevel="0" collapsed="false">
      <c r="A647" s="29"/>
      <c r="B647" s="29"/>
      <c r="C647" s="31"/>
      <c r="D647" s="31"/>
      <c r="E647" s="35" t="str">
        <f aca="false">IF(OR(C647="",D647=""),"",MAX(1,D647-C647))</f>
        <v/>
      </c>
      <c r="F647" s="32"/>
      <c r="G647" s="36" t="str">
        <f aca="false">IF(B647="","",IFERROR(IF(N(INDEX(Fleet!$N$5:$N$79,MATCH(B647,Fleet!$A$5:$A$79,0)))&gt;0,INDEX(Fleet!$N$5:$N$79,MATCH(B647,Fleet!$A$5:$A$79,0)),Assumptions!$B$7),Assumptions!$B$7))</f>
        <v/>
      </c>
      <c r="H647" s="34" t="str">
        <f aca="false">IF(OR(F647="",G647=""),"",F647*G647)</f>
        <v/>
      </c>
      <c r="I647" s="32"/>
      <c r="J647" s="32"/>
      <c r="K647" s="37"/>
      <c r="L647" s="38" t="str">
        <f aca="false">IF(C647="","",DATE(YEAR(C647),MONTH(C647),1))</f>
        <v/>
      </c>
      <c r="M647" s="34" t="str">
        <f aca="false">IF(F647="","",N(H647)+N(I647)-N(J647))</f>
        <v/>
      </c>
      <c r="N647" s="29"/>
    </row>
    <row r="648" customFormat="false" ht="15" hidden="false" customHeight="false" outlineLevel="0" collapsed="false">
      <c r="A648" s="29"/>
      <c r="B648" s="29"/>
      <c r="C648" s="31"/>
      <c r="D648" s="31"/>
      <c r="E648" s="35" t="str">
        <f aca="false">IF(OR(C648="",D648=""),"",MAX(1,D648-C648))</f>
        <v/>
      </c>
      <c r="F648" s="32"/>
      <c r="G648" s="36" t="str">
        <f aca="false">IF(B648="","",IFERROR(IF(N(INDEX(Fleet!$N$5:$N$79,MATCH(B648,Fleet!$A$5:$A$79,0)))&gt;0,INDEX(Fleet!$N$5:$N$79,MATCH(B648,Fleet!$A$5:$A$79,0)),Assumptions!$B$7),Assumptions!$B$7))</f>
        <v/>
      </c>
      <c r="H648" s="34" t="str">
        <f aca="false">IF(OR(F648="",G648=""),"",F648*G648)</f>
        <v/>
      </c>
      <c r="I648" s="32"/>
      <c r="J648" s="32"/>
      <c r="K648" s="37"/>
      <c r="L648" s="38" t="str">
        <f aca="false">IF(C648="","",DATE(YEAR(C648),MONTH(C648),1))</f>
        <v/>
      </c>
      <c r="M648" s="34" t="str">
        <f aca="false">IF(F648="","",N(H648)+N(I648)-N(J648))</f>
        <v/>
      </c>
      <c r="N648" s="29"/>
    </row>
    <row r="649" customFormat="false" ht="15" hidden="false" customHeight="false" outlineLevel="0" collapsed="false">
      <c r="A649" s="29"/>
      <c r="B649" s="29"/>
      <c r="C649" s="31"/>
      <c r="D649" s="31"/>
      <c r="E649" s="35" t="str">
        <f aca="false">IF(OR(C649="",D649=""),"",MAX(1,D649-C649))</f>
        <v/>
      </c>
      <c r="F649" s="32"/>
      <c r="G649" s="36" t="str">
        <f aca="false">IF(B649="","",IFERROR(IF(N(INDEX(Fleet!$N$5:$N$79,MATCH(B649,Fleet!$A$5:$A$79,0)))&gt;0,INDEX(Fleet!$N$5:$N$79,MATCH(B649,Fleet!$A$5:$A$79,0)),Assumptions!$B$7),Assumptions!$B$7))</f>
        <v/>
      </c>
      <c r="H649" s="34" t="str">
        <f aca="false">IF(OR(F649="",G649=""),"",F649*G649)</f>
        <v/>
      </c>
      <c r="I649" s="32"/>
      <c r="J649" s="32"/>
      <c r="K649" s="37"/>
      <c r="L649" s="38" t="str">
        <f aca="false">IF(C649="","",DATE(YEAR(C649),MONTH(C649),1))</f>
        <v/>
      </c>
      <c r="M649" s="34" t="str">
        <f aca="false">IF(F649="","",N(H649)+N(I649)-N(J649))</f>
        <v/>
      </c>
      <c r="N649" s="29"/>
    </row>
    <row r="650" customFormat="false" ht="15" hidden="false" customHeight="false" outlineLevel="0" collapsed="false">
      <c r="A650" s="29"/>
      <c r="B650" s="29"/>
      <c r="C650" s="31"/>
      <c r="D650" s="31"/>
      <c r="E650" s="35" t="str">
        <f aca="false">IF(OR(C650="",D650=""),"",MAX(1,D650-C650))</f>
        <v/>
      </c>
      <c r="F650" s="32"/>
      <c r="G650" s="36" t="str">
        <f aca="false">IF(B650="","",IFERROR(IF(N(INDEX(Fleet!$N$5:$N$79,MATCH(B650,Fleet!$A$5:$A$79,0)))&gt;0,INDEX(Fleet!$N$5:$N$79,MATCH(B650,Fleet!$A$5:$A$79,0)),Assumptions!$B$7),Assumptions!$B$7))</f>
        <v/>
      </c>
      <c r="H650" s="34" t="str">
        <f aca="false">IF(OR(F650="",G650=""),"",F650*G650)</f>
        <v/>
      </c>
      <c r="I650" s="32"/>
      <c r="J650" s="32"/>
      <c r="K650" s="37"/>
      <c r="L650" s="38" t="str">
        <f aca="false">IF(C650="","",DATE(YEAR(C650),MONTH(C650),1))</f>
        <v/>
      </c>
      <c r="M650" s="34" t="str">
        <f aca="false">IF(F650="","",N(H650)+N(I650)-N(J650))</f>
        <v/>
      </c>
      <c r="N650" s="29"/>
    </row>
    <row r="651" customFormat="false" ht="15" hidden="false" customHeight="false" outlineLevel="0" collapsed="false">
      <c r="A651" s="29"/>
      <c r="B651" s="29"/>
      <c r="C651" s="31"/>
      <c r="D651" s="31"/>
      <c r="E651" s="35" t="str">
        <f aca="false">IF(OR(C651="",D651=""),"",MAX(1,D651-C651))</f>
        <v/>
      </c>
      <c r="F651" s="32"/>
      <c r="G651" s="36" t="str">
        <f aca="false">IF(B651="","",IFERROR(IF(N(INDEX(Fleet!$N$5:$N$79,MATCH(B651,Fleet!$A$5:$A$79,0)))&gt;0,INDEX(Fleet!$N$5:$N$79,MATCH(B651,Fleet!$A$5:$A$79,0)),Assumptions!$B$7),Assumptions!$B$7))</f>
        <v/>
      </c>
      <c r="H651" s="34" t="str">
        <f aca="false">IF(OR(F651="",G651=""),"",F651*G651)</f>
        <v/>
      </c>
      <c r="I651" s="32"/>
      <c r="J651" s="32"/>
      <c r="K651" s="37"/>
      <c r="L651" s="38" t="str">
        <f aca="false">IF(C651="","",DATE(YEAR(C651),MONTH(C651),1))</f>
        <v/>
      </c>
      <c r="M651" s="34" t="str">
        <f aca="false">IF(F651="","",N(H651)+N(I651)-N(J651))</f>
        <v/>
      </c>
      <c r="N651" s="29"/>
    </row>
    <row r="652" customFormat="false" ht="15" hidden="false" customHeight="false" outlineLevel="0" collapsed="false">
      <c r="A652" s="29"/>
      <c r="B652" s="29"/>
      <c r="C652" s="31"/>
      <c r="D652" s="31"/>
      <c r="E652" s="35" t="str">
        <f aca="false">IF(OR(C652="",D652=""),"",MAX(1,D652-C652))</f>
        <v/>
      </c>
      <c r="F652" s="32"/>
      <c r="G652" s="36" t="str">
        <f aca="false">IF(B652="","",IFERROR(IF(N(INDEX(Fleet!$N$5:$N$79,MATCH(B652,Fleet!$A$5:$A$79,0)))&gt;0,INDEX(Fleet!$N$5:$N$79,MATCH(B652,Fleet!$A$5:$A$79,0)),Assumptions!$B$7),Assumptions!$B$7))</f>
        <v/>
      </c>
      <c r="H652" s="34" t="str">
        <f aca="false">IF(OR(F652="",G652=""),"",F652*G652)</f>
        <v/>
      </c>
      <c r="I652" s="32"/>
      <c r="J652" s="32"/>
      <c r="K652" s="37"/>
      <c r="L652" s="38" t="str">
        <f aca="false">IF(C652="","",DATE(YEAR(C652),MONTH(C652),1))</f>
        <v/>
      </c>
      <c r="M652" s="34" t="str">
        <f aca="false">IF(F652="","",N(H652)+N(I652)-N(J652))</f>
        <v/>
      </c>
      <c r="N652" s="29"/>
    </row>
    <row r="653" customFormat="false" ht="15" hidden="false" customHeight="false" outlineLevel="0" collapsed="false">
      <c r="A653" s="29"/>
      <c r="B653" s="29"/>
      <c r="C653" s="31"/>
      <c r="D653" s="31"/>
      <c r="E653" s="35" t="str">
        <f aca="false">IF(OR(C653="",D653=""),"",MAX(1,D653-C653))</f>
        <v/>
      </c>
      <c r="F653" s="32"/>
      <c r="G653" s="36" t="str">
        <f aca="false">IF(B653="","",IFERROR(IF(N(INDEX(Fleet!$N$5:$N$79,MATCH(B653,Fleet!$A$5:$A$79,0)))&gt;0,INDEX(Fleet!$N$5:$N$79,MATCH(B653,Fleet!$A$5:$A$79,0)),Assumptions!$B$7),Assumptions!$B$7))</f>
        <v/>
      </c>
      <c r="H653" s="34" t="str">
        <f aca="false">IF(OR(F653="",G653=""),"",F653*G653)</f>
        <v/>
      </c>
      <c r="I653" s="32"/>
      <c r="J653" s="32"/>
      <c r="K653" s="37"/>
      <c r="L653" s="38" t="str">
        <f aca="false">IF(C653="","",DATE(YEAR(C653),MONTH(C653),1))</f>
        <v/>
      </c>
      <c r="M653" s="34" t="str">
        <f aca="false">IF(F653="","",N(H653)+N(I653)-N(J653))</f>
        <v/>
      </c>
      <c r="N653" s="29"/>
    </row>
    <row r="654" customFormat="false" ht="15" hidden="false" customHeight="false" outlineLevel="0" collapsed="false">
      <c r="A654" s="29"/>
      <c r="B654" s="29"/>
      <c r="C654" s="31"/>
      <c r="D654" s="31"/>
      <c r="E654" s="35" t="str">
        <f aca="false">IF(OR(C654="",D654=""),"",MAX(1,D654-C654))</f>
        <v/>
      </c>
      <c r="F654" s="32"/>
      <c r="G654" s="36" t="str">
        <f aca="false">IF(B654="","",IFERROR(IF(N(INDEX(Fleet!$N$5:$N$79,MATCH(B654,Fleet!$A$5:$A$79,0)))&gt;0,INDEX(Fleet!$N$5:$N$79,MATCH(B654,Fleet!$A$5:$A$79,0)),Assumptions!$B$7),Assumptions!$B$7))</f>
        <v/>
      </c>
      <c r="H654" s="34" t="str">
        <f aca="false">IF(OR(F654="",G654=""),"",F654*G654)</f>
        <v/>
      </c>
      <c r="I654" s="32"/>
      <c r="J654" s="32"/>
      <c r="K654" s="37"/>
      <c r="L654" s="38" t="str">
        <f aca="false">IF(C654="","",DATE(YEAR(C654),MONTH(C654),1))</f>
        <v/>
      </c>
      <c r="M654" s="34" t="str">
        <f aca="false">IF(F654="","",N(H654)+N(I654)-N(J654))</f>
        <v/>
      </c>
      <c r="N654" s="29"/>
    </row>
    <row r="655" customFormat="false" ht="15" hidden="false" customHeight="false" outlineLevel="0" collapsed="false">
      <c r="A655" s="29"/>
      <c r="B655" s="29"/>
      <c r="C655" s="31"/>
      <c r="D655" s="31"/>
      <c r="E655" s="35" t="str">
        <f aca="false">IF(OR(C655="",D655=""),"",MAX(1,D655-C655))</f>
        <v/>
      </c>
      <c r="F655" s="32"/>
      <c r="G655" s="36" t="str">
        <f aca="false">IF(B655="","",IFERROR(IF(N(INDEX(Fleet!$N$5:$N$79,MATCH(B655,Fleet!$A$5:$A$79,0)))&gt;0,INDEX(Fleet!$N$5:$N$79,MATCH(B655,Fleet!$A$5:$A$79,0)),Assumptions!$B$7),Assumptions!$B$7))</f>
        <v/>
      </c>
      <c r="H655" s="34" t="str">
        <f aca="false">IF(OR(F655="",G655=""),"",F655*G655)</f>
        <v/>
      </c>
      <c r="I655" s="32"/>
      <c r="J655" s="32"/>
      <c r="K655" s="37"/>
      <c r="L655" s="38" t="str">
        <f aca="false">IF(C655="","",DATE(YEAR(C655),MONTH(C655),1))</f>
        <v/>
      </c>
      <c r="M655" s="34" t="str">
        <f aca="false">IF(F655="","",N(H655)+N(I655)-N(J655))</f>
        <v/>
      </c>
      <c r="N655" s="29"/>
    </row>
    <row r="656" customFormat="false" ht="15" hidden="false" customHeight="false" outlineLevel="0" collapsed="false">
      <c r="A656" s="29"/>
      <c r="B656" s="29"/>
      <c r="C656" s="31"/>
      <c r="D656" s="31"/>
      <c r="E656" s="35" t="str">
        <f aca="false">IF(OR(C656="",D656=""),"",MAX(1,D656-C656))</f>
        <v/>
      </c>
      <c r="F656" s="32"/>
      <c r="G656" s="36" t="str">
        <f aca="false">IF(B656="","",IFERROR(IF(N(INDEX(Fleet!$N$5:$N$79,MATCH(B656,Fleet!$A$5:$A$79,0)))&gt;0,INDEX(Fleet!$N$5:$N$79,MATCH(B656,Fleet!$A$5:$A$79,0)),Assumptions!$B$7),Assumptions!$B$7))</f>
        <v/>
      </c>
      <c r="H656" s="34" t="str">
        <f aca="false">IF(OR(F656="",G656=""),"",F656*G656)</f>
        <v/>
      </c>
      <c r="I656" s="32"/>
      <c r="J656" s="32"/>
      <c r="K656" s="37"/>
      <c r="L656" s="38" t="str">
        <f aca="false">IF(C656="","",DATE(YEAR(C656),MONTH(C656),1))</f>
        <v/>
      </c>
      <c r="M656" s="34" t="str">
        <f aca="false">IF(F656="","",N(H656)+N(I656)-N(J656))</f>
        <v/>
      </c>
      <c r="N656" s="29"/>
    </row>
    <row r="657" customFormat="false" ht="15" hidden="false" customHeight="false" outlineLevel="0" collapsed="false">
      <c r="A657" s="29"/>
      <c r="B657" s="29"/>
      <c r="C657" s="31"/>
      <c r="D657" s="31"/>
      <c r="E657" s="35" t="str">
        <f aca="false">IF(OR(C657="",D657=""),"",MAX(1,D657-C657))</f>
        <v/>
      </c>
      <c r="F657" s="32"/>
      <c r="G657" s="36" t="str">
        <f aca="false">IF(B657="","",IFERROR(IF(N(INDEX(Fleet!$N$5:$N$79,MATCH(B657,Fleet!$A$5:$A$79,0)))&gt;0,INDEX(Fleet!$N$5:$N$79,MATCH(B657,Fleet!$A$5:$A$79,0)),Assumptions!$B$7),Assumptions!$B$7))</f>
        <v/>
      </c>
      <c r="H657" s="34" t="str">
        <f aca="false">IF(OR(F657="",G657=""),"",F657*G657)</f>
        <v/>
      </c>
      <c r="I657" s="32"/>
      <c r="J657" s="32"/>
      <c r="K657" s="37"/>
      <c r="L657" s="38" t="str">
        <f aca="false">IF(C657="","",DATE(YEAR(C657),MONTH(C657),1))</f>
        <v/>
      </c>
      <c r="M657" s="34" t="str">
        <f aca="false">IF(F657="","",N(H657)+N(I657)-N(J657))</f>
        <v/>
      </c>
      <c r="N657" s="29"/>
    </row>
    <row r="658" customFormat="false" ht="15" hidden="false" customHeight="false" outlineLevel="0" collapsed="false">
      <c r="A658" s="29"/>
      <c r="B658" s="29"/>
      <c r="C658" s="31"/>
      <c r="D658" s="31"/>
      <c r="E658" s="35" t="str">
        <f aca="false">IF(OR(C658="",D658=""),"",MAX(1,D658-C658))</f>
        <v/>
      </c>
      <c r="F658" s="32"/>
      <c r="G658" s="36" t="str">
        <f aca="false">IF(B658="","",IFERROR(IF(N(INDEX(Fleet!$N$5:$N$79,MATCH(B658,Fleet!$A$5:$A$79,0)))&gt;0,INDEX(Fleet!$N$5:$N$79,MATCH(B658,Fleet!$A$5:$A$79,0)),Assumptions!$B$7),Assumptions!$B$7))</f>
        <v/>
      </c>
      <c r="H658" s="34" t="str">
        <f aca="false">IF(OR(F658="",G658=""),"",F658*G658)</f>
        <v/>
      </c>
      <c r="I658" s="32"/>
      <c r="J658" s="32"/>
      <c r="K658" s="37"/>
      <c r="L658" s="38" t="str">
        <f aca="false">IF(C658="","",DATE(YEAR(C658),MONTH(C658),1))</f>
        <v/>
      </c>
      <c r="M658" s="34" t="str">
        <f aca="false">IF(F658="","",N(H658)+N(I658)-N(J658))</f>
        <v/>
      </c>
      <c r="N658" s="29"/>
    </row>
    <row r="659" customFormat="false" ht="15" hidden="false" customHeight="false" outlineLevel="0" collapsed="false">
      <c r="A659" s="29"/>
      <c r="B659" s="29"/>
      <c r="C659" s="31"/>
      <c r="D659" s="31"/>
      <c r="E659" s="35" t="str">
        <f aca="false">IF(OR(C659="",D659=""),"",MAX(1,D659-C659))</f>
        <v/>
      </c>
      <c r="F659" s="32"/>
      <c r="G659" s="36" t="str">
        <f aca="false">IF(B659="","",IFERROR(IF(N(INDEX(Fleet!$N$5:$N$79,MATCH(B659,Fleet!$A$5:$A$79,0)))&gt;0,INDEX(Fleet!$N$5:$N$79,MATCH(B659,Fleet!$A$5:$A$79,0)),Assumptions!$B$7),Assumptions!$B$7))</f>
        <v/>
      </c>
      <c r="H659" s="34" t="str">
        <f aca="false">IF(OR(F659="",G659=""),"",F659*G659)</f>
        <v/>
      </c>
      <c r="I659" s="32"/>
      <c r="J659" s="32"/>
      <c r="K659" s="37"/>
      <c r="L659" s="38" t="str">
        <f aca="false">IF(C659="","",DATE(YEAR(C659),MONTH(C659),1))</f>
        <v/>
      </c>
      <c r="M659" s="34" t="str">
        <f aca="false">IF(F659="","",N(H659)+N(I659)-N(J659))</f>
        <v/>
      </c>
      <c r="N659" s="29"/>
    </row>
    <row r="660" customFormat="false" ht="15" hidden="false" customHeight="false" outlineLevel="0" collapsed="false">
      <c r="A660" s="29"/>
      <c r="B660" s="29"/>
      <c r="C660" s="31"/>
      <c r="D660" s="31"/>
      <c r="E660" s="35" t="str">
        <f aca="false">IF(OR(C660="",D660=""),"",MAX(1,D660-C660))</f>
        <v/>
      </c>
      <c r="F660" s="32"/>
      <c r="G660" s="36" t="str">
        <f aca="false">IF(B660="","",IFERROR(IF(N(INDEX(Fleet!$N$5:$N$79,MATCH(B660,Fleet!$A$5:$A$79,0)))&gt;0,INDEX(Fleet!$N$5:$N$79,MATCH(B660,Fleet!$A$5:$A$79,0)),Assumptions!$B$7),Assumptions!$B$7))</f>
        <v/>
      </c>
      <c r="H660" s="34" t="str">
        <f aca="false">IF(OR(F660="",G660=""),"",F660*G660)</f>
        <v/>
      </c>
      <c r="I660" s="32"/>
      <c r="J660" s="32"/>
      <c r="K660" s="37"/>
      <c r="L660" s="38" t="str">
        <f aca="false">IF(C660="","",DATE(YEAR(C660),MONTH(C660),1))</f>
        <v/>
      </c>
      <c r="M660" s="34" t="str">
        <f aca="false">IF(F660="","",N(H660)+N(I660)-N(J660))</f>
        <v/>
      </c>
      <c r="N660" s="29"/>
    </row>
    <row r="661" customFormat="false" ht="15" hidden="false" customHeight="false" outlineLevel="0" collapsed="false">
      <c r="A661" s="29"/>
      <c r="B661" s="29"/>
      <c r="C661" s="31"/>
      <c r="D661" s="31"/>
      <c r="E661" s="35" t="str">
        <f aca="false">IF(OR(C661="",D661=""),"",MAX(1,D661-C661))</f>
        <v/>
      </c>
      <c r="F661" s="32"/>
      <c r="G661" s="36" t="str">
        <f aca="false">IF(B661="","",IFERROR(IF(N(INDEX(Fleet!$N$5:$N$79,MATCH(B661,Fleet!$A$5:$A$79,0)))&gt;0,INDEX(Fleet!$N$5:$N$79,MATCH(B661,Fleet!$A$5:$A$79,0)),Assumptions!$B$7),Assumptions!$B$7))</f>
        <v/>
      </c>
      <c r="H661" s="34" t="str">
        <f aca="false">IF(OR(F661="",G661=""),"",F661*G661)</f>
        <v/>
      </c>
      <c r="I661" s="32"/>
      <c r="J661" s="32"/>
      <c r="K661" s="37"/>
      <c r="L661" s="38" t="str">
        <f aca="false">IF(C661="","",DATE(YEAR(C661),MONTH(C661),1))</f>
        <v/>
      </c>
      <c r="M661" s="34" t="str">
        <f aca="false">IF(F661="","",N(H661)+N(I661)-N(J661))</f>
        <v/>
      </c>
      <c r="N661" s="29"/>
    </row>
    <row r="662" customFormat="false" ht="15" hidden="false" customHeight="false" outlineLevel="0" collapsed="false">
      <c r="A662" s="29"/>
      <c r="B662" s="29"/>
      <c r="C662" s="31"/>
      <c r="D662" s="31"/>
      <c r="E662" s="35" t="str">
        <f aca="false">IF(OR(C662="",D662=""),"",MAX(1,D662-C662))</f>
        <v/>
      </c>
      <c r="F662" s="32"/>
      <c r="G662" s="36" t="str">
        <f aca="false">IF(B662="","",IFERROR(IF(N(INDEX(Fleet!$N$5:$N$79,MATCH(B662,Fleet!$A$5:$A$79,0)))&gt;0,INDEX(Fleet!$N$5:$N$79,MATCH(B662,Fleet!$A$5:$A$79,0)),Assumptions!$B$7),Assumptions!$B$7))</f>
        <v/>
      </c>
      <c r="H662" s="34" t="str">
        <f aca="false">IF(OR(F662="",G662=""),"",F662*G662)</f>
        <v/>
      </c>
      <c r="I662" s="32"/>
      <c r="J662" s="32"/>
      <c r="K662" s="37"/>
      <c r="L662" s="38" t="str">
        <f aca="false">IF(C662="","",DATE(YEAR(C662),MONTH(C662),1))</f>
        <v/>
      </c>
      <c r="M662" s="34" t="str">
        <f aca="false">IF(F662="","",N(H662)+N(I662)-N(J662))</f>
        <v/>
      </c>
      <c r="N662" s="29"/>
    </row>
    <row r="663" customFormat="false" ht="15" hidden="false" customHeight="false" outlineLevel="0" collapsed="false">
      <c r="A663" s="29"/>
      <c r="B663" s="29"/>
      <c r="C663" s="31"/>
      <c r="D663" s="31"/>
      <c r="E663" s="35" t="str">
        <f aca="false">IF(OR(C663="",D663=""),"",MAX(1,D663-C663))</f>
        <v/>
      </c>
      <c r="F663" s="32"/>
      <c r="G663" s="36" t="str">
        <f aca="false">IF(B663="","",IFERROR(IF(N(INDEX(Fleet!$N$5:$N$79,MATCH(B663,Fleet!$A$5:$A$79,0)))&gt;0,INDEX(Fleet!$N$5:$N$79,MATCH(B663,Fleet!$A$5:$A$79,0)),Assumptions!$B$7),Assumptions!$B$7))</f>
        <v/>
      </c>
      <c r="H663" s="34" t="str">
        <f aca="false">IF(OR(F663="",G663=""),"",F663*G663)</f>
        <v/>
      </c>
      <c r="I663" s="32"/>
      <c r="J663" s="32"/>
      <c r="K663" s="37"/>
      <c r="L663" s="38" t="str">
        <f aca="false">IF(C663="","",DATE(YEAR(C663),MONTH(C663),1))</f>
        <v/>
      </c>
      <c r="M663" s="34" t="str">
        <f aca="false">IF(F663="","",N(H663)+N(I663)-N(J663))</f>
        <v/>
      </c>
      <c r="N663" s="29"/>
    </row>
    <row r="664" customFormat="false" ht="15" hidden="false" customHeight="false" outlineLevel="0" collapsed="false">
      <c r="A664" s="29"/>
      <c r="B664" s="29"/>
      <c r="C664" s="31"/>
      <c r="D664" s="31"/>
      <c r="E664" s="35" t="str">
        <f aca="false">IF(OR(C664="",D664=""),"",MAX(1,D664-C664))</f>
        <v/>
      </c>
      <c r="F664" s="32"/>
      <c r="G664" s="36" t="str">
        <f aca="false">IF(B664="","",IFERROR(IF(N(INDEX(Fleet!$N$5:$N$79,MATCH(B664,Fleet!$A$5:$A$79,0)))&gt;0,INDEX(Fleet!$N$5:$N$79,MATCH(B664,Fleet!$A$5:$A$79,0)),Assumptions!$B$7),Assumptions!$B$7))</f>
        <v/>
      </c>
      <c r="H664" s="34" t="str">
        <f aca="false">IF(OR(F664="",G664=""),"",F664*G664)</f>
        <v/>
      </c>
      <c r="I664" s="32"/>
      <c r="J664" s="32"/>
      <c r="K664" s="37"/>
      <c r="L664" s="38" t="str">
        <f aca="false">IF(C664="","",DATE(YEAR(C664),MONTH(C664),1))</f>
        <v/>
      </c>
      <c r="M664" s="34" t="str">
        <f aca="false">IF(F664="","",N(H664)+N(I664)-N(J664))</f>
        <v/>
      </c>
      <c r="N664" s="29"/>
    </row>
    <row r="665" customFormat="false" ht="15" hidden="false" customHeight="false" outlineLevel="0" collapsed="false">
      <c r="A665" s="29"/>
      <c r="B665" s="29"/>
      <c r="C665" s="31"/>
      <c r="D665" s="31"/>
      <c r="E665" s="35" t="str">
        <f aca="false">IF(OR(C665="",D665=""),"",MAX(1,D665-C665))</f>
        <v/>
      </c>
      <c r="F665" s="32"/>
      <c r="G665" s="36" t="str">
        <f aca="false">IF(B665="","",IFERROR(IF(N(INDEX(Fleet!$N$5:$N$79,MATCH(B665,Fleet!$A$5:$A$79,0)))&gt;0,INDEX(Fleet!$N$5:$N$79,MATCH(B665,Fleet!$A$5:$A$79,0)),Assumptions!$B$7),Assumptions!$B$7))</f>
        <v/>
      </c>
      <c r="H665" s="34" t="str">
        <f aca="false">IF(OR(F665="",G665=""),"",F665*G665)</f>
        <v/>
      </c>
      <c r="I665" s="32"/>
      <c r="J665" s="32"/>
      <c r="K665" s="37"/>
      <c r="L665" s="38" t="str">
        <f aca="false">IF(C665="","",DATE(YEAR(C665),MONTH(C665),1))</f>
        <v/>
      </c>
      <c r="M665" s="34" t="str">
        <f aca="false">IF(F665="","",N(H665)+N(I665)-N(J665))</f>
        <v/>
      </c>
      <c r="N665" s="29"/>
    </row>
    <row r="666" customFormat="false" ht="15" hidden="false" customHeight="false" outlineLevel="0" collapsed="false">
      <c r="A666" s="29"/>
      <c r="B666" s="29"/>
      <c r="C666" s="31"/>
      <c r="D666" s="31"/>
      <c r="E666" s="35" t="str">
        <f aca="false">IF(OR(C666="",D666=""),"",MAX(1,D666-C666))</f>
        <v/>
      </c>
      <c r="F666" s="32"/>
      <c r="G666" s="36" t="str">
        <f aca="false">IF(B666="","",IFERROR(IF(N(INDEX(Fleet!$N$5:$N$79,MATCH(B666,Fleet!$A$5:$A$79,0)))&gt;0,INDEX(Fleet!$N$5:$N$79,MATCH(B666,Fleet!$A$5:$A$79,0)),Assumptions!$B$7),Assumptions!$B$7))</f>
        <v/>
      </c>
      <c r="H666" s="34" t="str">
        <f aca="false">IF(OR(F666="",G666=""),"",F666*G666)</f>
        <v/>
      </c>
      <c r="I666" s="32"/>
      <c r="J666" s="32"/>
      <c r="K666" s="37"/>
      <c r="L666" s="38" t="str">
        <f aca="false">IF(C666="","",DATE(YEAR(C666),MONTH(C666),1))</f>
        <v/>
      </c>
      <c r="M666" s="34" t="str">
        <f aca="false">IF(F666="","",N(H666)+N(I666)-N(J666))</f>
        <v/>
      </c>
      <c r="N666" s="29"/>
    </row>
    <row r="667" customFormat="false" ht="15" hidden="false" customHeight="false" outlineLevel="0" collapsed="false">
      <c r="A667" s="29"/>
      <c r="B667" s="29"/>
      <c r="C667" s="31"/>
      <c r="D667" s="31"/>
      <c r="E667" s="35" t="str">
        <f aca="false">IF(OR(C667="",D667=""),"",MAX(1,D667-C667))</f>
        <v/>
      </c>
      <c r="F667" s="32"/>
      <c r="G667" s="36" t="str">
        <f aca="false">IF(B667="","",IFERROR(IF(N(INDEX(Fleet!$N$5:$N$79,MATCH(B667,Fleet!$A$5:$A$79,0)))&gt;0,INDEX(Fleet!$N$5:$N$79,MATCH(B667,Fleet!$A$5:$A$79,0)),Assumptions!$B$7),Assumptions!$B$7))</f>
        <v/>
      </c>
      <c r="H667" s="34" t="str">
        <f aca="false">IF(OR(F667="",G667=""),"",F667*G667)</f>
        <v/>
      </c>
      <c r="I667" s="32"/>
      <c r="J667" s="32"/>
      <c r="K667" s="37"/>
      <c r="L667" s="38" t="str">
        <f aca="false">IF(C667="","",DATE(YEAR(C667),MONTH(C667),1))</f>
        <v/>
      </c>
      <c r="M667" s="34" t="str">
        <f aca="false">IF(F667="","",N(H667)+N(I667)-N(J667))</f>
        <v/>
      </c>
      <c r="N667" s="29"/>
    </row>
    <row r="668" customFormat="false" ht="15" hidden="false" customHeight="false" outlineLevel="0" collapsed="false">
      <c r="A668" s="29"/>
      <c r="B668" s="29"/>
      <c r="C668" s="31"/>
      <c r="D668" s="31"/>
      <c r="E668" s="35" t="str">
        <f aca="false">IF(OR(C668="",D668=""),"",MAX(1,D668-C668))</f>
        <v/>
      </c>
      <c r="F668" s="32"/>
      <c r="G668" s="36" t="str">
        <f aca="false">IF(B668="","",IFERROR(IF(N(INDEX(Fleet!$N$5:$N$79,MATCH(B668,Fleet!$A$5:$A$79,0)))&gt;0,INDEX(Fleet!$N$5:$N$79,MATCH(B668,Fleet!$A$5:$A$79,0)),Assumptions!$B$7),Assumptions!$B$7))</f>
        <v/>
      </c>
      <c r="H668" s="34" t="str">
        <f aca="false">IF(OR(F668="",G668=""),"",F668*G668)</f>
        <v/>
      </c>
      <c r="I668" s="32"/>
      <c r="J668" s="32"/>
      <c r="K668" s="37"/>
      <c r="L668" s="38" t="str">
        <f aca="false">IF(C668="","",DATE(YEAR(C668),MONTH(C668),1))</f>
        <v/>
      </c>
      <c r="M668" s="34" t="str">
        <f aca="false">IF(F668="","",N(H668)+N(I668)-N(J668))</f>
        <v/>
      </c>
      <c r="N668" s="29"/>
    </row>
    <row r="669" customFormat="false" ht="15" hidden="false" customHeight="false" outlineLevel="0" collapsed="false">
      <c r="A669" s="29"/>
      <c r="B669" s="29"/>
      <c r="C669" s="31"/>
      <c r="D669" s="31"/>
      <c r="E669" s="35" t="str">
        <f aca="false">IF(OR(C669="",D669=""),"",MAX(1,D669-C669))</f>
        <v/>
      </c>
      <c r="F669" s="32"/>
      <c r="G669" s="36" t="str">
        <f aca="false">IF(B669="","",IFERROR(IF(N(INDEX(Fleet!$N$5:$N$79,MATCH(B669,Fleet!$A$5:$A$79,0)))&gt;0,INDEX(Fleet!$N$5:$N$79,MATCH(B669,Fleet!$A$5:$A$79,0)),Assumptions!$B$7),Assumptions!$B$7))</f>
        <v/>
      </c>
      <c r="H669" s="34" t="str">
        <f aca="false">IF(OR(F669="",G669=""),"",F669*G669)</f>
        <v/>
      </c>
      <c r="I669" s="32"/>
      <c r="J669" s="32"/>
      <c r="K669" s="37"/>
      <c r="L669" s="38" t="str">
        <f aca="false">IF(C669="","",DATE(YEAR(C669),MONTH(C669),1))</f>
        <v/>
      </c>
      <c r="M669" s="34" t="str">
        <f aca="false">IF(F669="","",N(H669)+N(I669)-N(J669))</f>
        <v/>
      </c>
      <c r="N669" s="29"/>
    </row>
    <row r="670" customFormat="false" ht="15" hidden="false" customHeight="false" outlineLevel="0" collapsed="false">
      <c r="A670" s="29"/>
      <c r="B670" s="29"/>
      <c r="C670" s="31"/>
      <c r="D670" s="31"/>
      <c r="E670" s="35" t="str">
        <f aca="false">IF(OR(C670="",D670=""),"",MAX(1,D670-C670))</f>
        <v/>
      </c>
      <c r="F670" s="32"/>
      <c r="G670" s="36" t="str">
        <f aca="false">IF(B670="","",IFERROR(IF(N(INDEX(Fleet!$N$5:$N$79,MATCH(B670,Fleet!$A$5:$A$79,0)))&gt;0,INDEX(Fleet!$N$5:$N$79,MATCH(B670,Fleet!$A$5:$A$79,0)),Assumptions!$B$7),Assumptions!$B$7))</f>
        <v/>
      </c>
      <c r="H670" s="34" t="str">
        <f aca="false">IF(OR(F670="",G670=""),"",F670*G670)</f>
        <v/>
      </c>
      <c r="I670" s="32"/>
      <c r="J670" s="32"/>
      <c r="K670" s="37"/>
      <c r="L670" s="38" t="str">
        <f aca="false">IF(C670="","",DATE(YEAR(C670),MONTH(C670),1))</f>
        <v/>
      </c>
      <c r="M670" s="34" t="str">
        <f aca="false">IF(F670="","",N(H670)+N(I670)-N(J670))</f>
        <v/>
      </c>
      <c r="N670" s="29"/>
    </row>
    <row r="671" customFormat="false" ht="15" hidden="false" customHeight="false" outlineLevel="0" collapsed="false">
      <c r="A671" s="29"/>
      <c r="B671" s="29"/>
      <c r="C671" s="31"/>
      <c r="D671" s="31"/>
      <c r="E671" s="35" t="str">
        <f aca="false">IF(OR(C671="",D671=""),"",MAX(1,D671-C671))</f>
        <v/>
      </c>
      <c r="F671" s="32"/>
      <c r="G671" s="36" t="str">
        <f aca="false">IF(B671="","",IFERROR(IF(N(INDEX(Fleet!$N$5:$N$79,MATCH(B671,Fleet!$A$5:$A$79,0)))&gt;0,INDEX(Fleet!$N$5:$N$79,MATCH(B671,Fleet!$A$5:$A$79,0)),Assumptions!$B$7),Assumptions!$B$7))</f>
        <v/>
      </c>
      <c r="H671" s="34" t="str">
        <f aca="false">IF(OR(F671="",G671=""),"",F671*G671)</f>
        <v/>
      </c>
      <c r="I671" s="32"/>
      <c r="J671" s="32"/>
      <c r="K671" s="37"/>
      <c r="L671" s="38" t="str">
        <f aca="false">IF(C671="","",DATE(YEAR(C671),MONTH(C671),1))</f>
        <v/>
      </c>
      <c r="M671" s="34" t="str">
        <f aca="false">IF(F671="","",N(H671)+N(I671)-N(J671))</f>
        <v/>
      </c>
      <c r="N671" s="29"/>
    </row>
    <row r="672" customFormat="false" ht="15" hidden="false" customHeight="false" outlineLevel="0" collapsed="false">
      <c r="A672" s="29"/>
      <c r="B672" s="29"/>
      <c r="C672" s="31"/>
      <c r="D672" s="31"/>
      <c r="E672" s="35" t="str">
        <f aca="false">IF(OR(C672="",D672=""),"",MAX(1,D672-C672))</f>
        <v/>
      </c>
      <c r="F672" s="32"/>
      <c r="G672" s="36" t="str">
        <f aca="false">IF(B672="","",IFERROR(IF(N(INDEX(Fleet!$N$5:$N$79,MATCH(B672,Fleet!$A$5:$A$79,0)))&gt;0,INDEX(Fleet!$N$5:$N$79,MATCH(B672,Fleet!$A$5:$A$79,0)),Assumptions!$B$7),Assumptions!$B$7))</f>
        <v/>
      </c>
      <c r="H672" s="34" t="str">
        <f aca="false">IF(OR(F672="",G672=""),"",F672*G672)</f>
        <v/>
      </c>
      <c r="I672" s="32"/>
      <c r="J672" s="32"/>
      <c r="K672" s="37"/>
      <c r="L672" s="38" t="str">
        <f aca="false">IF(C672="","",DATE(YEAR(C672),MONTH(C672),1))</f>
        <v/>
      </c>
      <c r="M672" s="34" t="str">
        <f aca="false">IF(F672="","",N(H672)+N(I672)-N(J672))</f>
        <v/>
      </c>
      <c r="N672" s="29"/>
    </row>
    <row r="673" customFormat="false" ht="15" hidden="false" customHeight="false" outlineLevel="0" collapsed="false">
      <c r="A673" s="29"/>
      <c r="B673" s="29"/>
      <c r="C673" s="31"/>
      <c r="D673" s="31"/>
      <c r="E673" s="35" t="str">
        <f aca="false">IF(OR(C673="",D673=""),"",MAX(1,D673-C673))</f>
        <v/>
      </c>
      <c r="F673" s="32"/>
      <c r="G673" s="36" t="str">
        <f aca="false">IF(B673="","",IFERROR(IF(N(INDEX(Fleet!$N$5:$N$79,MATCH(B673,Fleet!$A$5:$A$79,0)))&gt;0,INDEX(Fleet!$N$5:$N$79,MATCH(B673,Fleet!$A$5:$A$79,0)),Assumptions!$B$7),Assumptions!$B$7))</f>
        <v/>
      </c>
      <c r="H673" s="34" t="str">
        <f aca="false">IF(OR(F673="",G673=""),"",F673*G673)</f>
        <v/>
      </c>
      <c r="I673" s="32"/>
      <c r="J673" s="32"/>
      <c r="K673" s="37"/>
      <c r="L673" s="38" t="str">
        <f aca="false">IF(C673="","",DATE(YEAR(C673),MONTH(C673),1))</f>
        <v/>
      </c>
      <c r="M673" s="34" t="str">
        <f aca="false">IF(F673="","",N(H673)+N(I673)-N(J673))</f>
        <v/>
      </c>
      <c r="N673" s="29"/>
    </row>
    <row r="674" customFormat="false" ht="15" hidden="false" customHeight="false" outlineLevel="0" collapsed="false">
      <c r="A674" s="29"/>
      <c r="B674" s="29"/>
      <c r="C674" s="31"/>
      <c r="D674" s="31"/>
      <c r="E674" s="35" t="str">
        <f aca="false">IF(OR(C674="",D674=""),"",MAX(1,D674-C674))</f>
        <v/>
      </c>
      <c r="F674" s="32"/>
      <c r="G674" s="36" t="str">
        <f aca="false">IF(B674="","",IFERROR(IF(N(INDEX(Fleet!$N$5:$N$79,MATCH(B674,Fleet!$A$5:$A$79,0)))&gt;0,INDEX(Fleet!$N$5:$N$79,MATCH(B674,Fleet!$A$5:$A$79,0)),Assumptions!$B$7),Assumptions!$B$7))</f>
        <v/>
      </c>
      <c r="H674" s="34" t="str">
        <f aca="false">IF(OR(F674="",G674=""),"",F674*G674)</f>
        <v/>
      </c>
      <c r="I674" s="32"/>
      <c r="J674" s="32"/>
      <c r="K674" s="37"/>
      <c r="L674" s="38" t="str">
        <f aca="false">IF(C674="","",DATE(YEAR(C674),MONTH(C674),1))</f>
        <v/>
      </c>
      <c r="M674" s="34" t="str">
        <f aca="false">IF(F674="","",N(H674)+N(I674)-N(J674))</f>
        <v/>
      </c>
      <c r="N674" s="29"/>
    </row>
    <row r="675" customFormat="false" ht="15" hidden="false" customHeight="false" outlineLevel="0" collapsed="false">
      <c r="A675" s="29"/>
      <c r="B675" s="29"/>
      <c r="C675" s="31"/>
      <c r="D675" s="31"/>
      <c r="E675" s="35" t="str">
        <f aca="false">IF(OR(C675="",D675=""),"",MAX(1,D675-C675))</f>
        <v/>
      </c>
      <c r="F675" s="32"/>
      <c r="G675" s="36" t="str">
        <f aca="false">IF(B675="","",IFERROR(IF(N(INDEX(Fleet!$N$5:$N$79,MATCH(B675,Fleet!$A$5:$A$79,0)))&gt;0,INDEX(Fleet!$N$5:$N$79,MATCH(B675,Fleet!$A$5:$A$79,0)),Assumptions!$B$7),Assumptions!$B$7))</f>
        <v/>
      </c>
      <c r="H675" s="34" t="str">
        <f aca="false">IF(OR(F675="",G675=""),"",F675*G675)</f>
        <v/>
      </c>
      <c r="I675" s="32"/>
      <c r="J675" s="32"/>
      <c r="K675" s="37"/>
      <c r="L675" s="38" t="str">
        <f aca="false">IF(C675="","",DATE(YEAR(C675),MONTH(C675),1))</f>
        <v/>
      </c>
      <c r="M675" s="34" t="str">
        <f aca="false">IF(F675="","",N(H675)+N(I675)-N(J675))</f>
        <v/>
      </c>
      <c r="N675" s="29"/>
    </row>
    <row r="676" customFormat="false" ht="15" hidden="false" customHeight="false" outlineLevel="0" collapsed="false">
      <c r="A676" s="29"/>
      <c r="B676" s="29"/>
      <c r="C676" s="31"/>
      <c r="D676" s="31"/>
      <c r="E676" s="35" t="str">
        <f aca="false">IF(OR(C676="",D676=""),"",MAX(1,D676-C676))</f>
        <v/>
      </c>
      <c r="F676" s="32"/>
      <c r="G676" s="36" t="str">
        <f aca="false">IF(B676="","",IFERROR(IF(N(INDEX(Fleet!$N$5:$N$79,MATCH(B676,Fleet!$A$5:$A$79,0)))&gt;0,INDEX(Fleet!$N$5:$N$79,MATCH(B676,Fleet!$A$5:$A$79,0)),Assumptions!$B$7),Assumptions!$B$7))</f>
        <v/>
      </c>
      <c r="H676" s="34" t="str">
        <f aca="false">IF(OR(F676="",G676=""),"",F676*G676)</f>
        <v/>
      </c>
      <c r="I676" s="32"/>
      <c r="J676" s="32"/>
      <c r="K676" s="37"/>
      <c r="L676" s="38" t="str">
        <f aca="false">IF(C676="","",DATE(YEAR(C676),MONTH(C676),1))</f>
        <v/>
      </c>
      <c r="M676" s="34" t="str">
        <f aca="false">IF(F676="","",N(H676)+N(I676)-N(J676))</f>
        <v/>
      </c>
      <c r="N676" s="29"/>
    </row>
    <row r="677" customFormat="false" ht="15" hidden="false" customHeight="false" outlineLevel="0" collapsed="false">
      <c r="A677" s="29"/>
      <c r="B677" s="29"/>
      <c r="C677" s="31"/>
      <c r="D677" s="31"/>
      <c r="E677" s="35" t="str">
        <f aca="false">IF(OR(C677="",D677=""),"",MAX(1,D677-C677))</f>
        <v/>
      </c>
      <c r="F677" s="32"/>
      <c r="G677" s="36" t="str">
        <f aca="false">IF(B677="","",IFERROR(IF(N(INDEX(Fleet!$N$5:$N$79,MATCH(B677,Fleet!$A$5:$A$79,0)))&gt;0,INDEX(Fleet!$N$5:$N$79,MATCH(B677,Fleet!$A$5:$A$79,0)),Assumptions!$B$7),Assumptions!$B$7))</f>
        <v/>
      </c>
      <c r="H677" s="34" t="str">
        <f aca="false">IF(OR(F677="",G677=""),"",F677*G677)</f>
        <v/>
      </c>
      <c r="I677" s="32"/>
      <c r="J677" s="32"/>
      <c r="K677" s="37"/>
      <c r="L677" s="38" t="str">
        <f aca="false">IF(C677="","",DATE(YEAR(C677),MONTH(C677),1))</f>
        <v/>
      </c>
      <c r="M677" s="34" t="str">
        <f aca="false">IF(F677="","",N(H677)+N(I677)-N(J677))</f>
        <v/>
      </c>
      <c r="N677" s="29"/>
    </row>
    <row r="678" customFormat="false" ht="15" hidden="false" customHeight="false" outlineLevel="0" collapsed="false">
      <c r="A678" s="29"/>
      <c r="B678" s="29"/>
      <c r="C678" s="31"/>
      <c r="D678" s="31"/>
      <c r="E678" s="35" t="str">
        <f aca="false">IF(OR(C678="",D678=""),"",MAX(1,D678-C678))</f>
        <v/>
      </c>
      <c r="F678" s="32"/>
      <c r="G678" s="36" t="str">
        <f aca="false">IF(B678="","",IFERROR(IF(N(INDEX(Fleet!$N$5:$N$79,MATCH(B678,Fleet!$A$5:$A$79,0)))&gt;0,INDEX(Fleet!$N$5:$N$79,MATCH(B678,Fleet!$A$5:$A$79,0)),Assumptions!$B$7),Assumptions!$B$7))</f>
        <v/>
      </c>
      <c r="H678" s="34" t="str">
        <f aca="false">IF(OR(F678="",G678=""),"",F678*G678)</f>
        <v/>
      </c>
      <c r="I678" s="32"/>
      <c r="J678" s="32"/>
      <c r="K678" s="37"/>
      <c r="L678" s="38" t="str">
        <f aca="false">IF(C678="","",DATE(YEAR(C678),MONTH(C678),1))</f>
        <v/>
      </c>
      <c r="M678" s="34" t="str">
        <f aca="false">IF(F678="","",N(H678)+N(I678)-N(J678))</f>
        <v/>
      </c>
      <c r="N678" s="29"/>
    </row>
    <row r="679" customFormat="false" ht="15" hidden="false" customHeight="false" outlineLevel="0" collapsed="false">
      <c r="A679" s="29"/>
      <c r="B679" s="29"/>
      <c r="C679" s="31"/>
      <c r="D679" s="31"/>
      <c r="E679" s="35" t="str">
        <f aca="false">IF(OR(C679="",D679=""),"",MAX(1,D679-C679))</f>
        <v/>
      </c>
      <c r="F679" s="32"/>
      <c r="G679" s="36" t="str">
        <f aca="false">IF(B679="","",IFERROR(IF(N(INDEX(Fleet!$N$5:$N$79,MATCH(B679,Fleet!$A$5:$A$79,0)))&gt;0,INDEX(Fleet!$N$5:$N$79,MATCH(B679,Fleet!$A$5:$A$79,0)),Assumptions!$B$7),Assumptions!$B$7))</f>
        <v/>
      </c>
      <c r="H679" s="34" t="str">
        <f aca="false">IF(OR(F679="",G679=""),"",F679*G679)</f>
        <v/>
      </c>
      <c r="I679" s="32"/>
      <c r="J679" s="32"/>
      <c r="K679" s="37"/>
      <c r="L679" s="38" t="str">
        <f aca="false">IF(C679="","",DATE(YEAR(C679),MONTH(C679),1))</f>
        <v/>
      </c>
      <c r="M679" s="34" t="str">
        <f aca="false">IF(F679="","",N(H679)+N(I679)-N(J679))</f>
        <v/>
      </c>
      <c r="N679" s="29"/>
    </row>
    <row r="680" customFormat="false" ht="15" hidden="false" customHeight="false" outlineLevel="0" collapsed="false">
      <c r="A680" s="29"/>
      <c r="B680" s="29"/>
      <c r="C680" s="31"/>
      <c r="D680" s="31"/>
      <c r="E680" s="35" t="str">
        <f aca="false">IF(OR(C680="",D680=""),"",MAX(1,D680-C680))</f>
        <v/>
      </c>
      <c r="F680" s="32"/>
      <c r="G680" s="36" t="str">
        <f aca="false">IF(B680="","",IFERROR(IF(N(INDEX(Fleet!$N$5:$N$79,MATCH(B680,Fleet!$A$5:$A$79,0)))&gt;0,INDEX(Fleet!$N$5:$N$79,MATCH(B680,Fleet!$A$5:$A$79,0)),Assumptions!$B$7),Assumptions!$B$7))</f>
        <v/>
      </c>
      <c r="H680" s="34" t="str">
        <f aca="false">IF(OR(F680="",G680=""),"",F680*G680)</f>
        <v/>
      </c>
      <c r="I680" s="32"/>
      <c r="J680" s="32"/>
      <c r="K680" s="37"/>
      <c r="L680" s="38" t="str">
        <f aca="false">IF(C680="","",DATE(YEAR(C680),MONTH(C680),1))</f>
        <v/>
      </c>
      <c r="M680" s="34" t="str">
        <f aca="false">IF(F680="","",N(H680)+N(I680)-N(J680))</f>
        <v/>
      </c>
      <c r="N680" s="29"/>
    </row>
    <row r="681" customFormat="false" ht="15" hidden="false" customHeight="false" outlineLevel="0" collapsed="false">
      <c r="A681" s="29"/>
      <c r="B681" s="29"/>
      <c r="C681" s="31"/>
      <c r="D681" s="31"/>
      <c r="E681" s="35" t="str">
        <f aca="false">IF(OR(C681="",D681=""),"",MAX(1,D681-C681))</f>
        <v/>
      </c>
      <c r="F681" s="32"/>
      <c r="G681" s="36" t="str">
        <f aca="false">IF(B681="","",IFERROR(IF(N(INDEX(Fleet!$N$5:$N$79,MATCH(B681,Fleet!$A$5:$A$79,0)))&gt;0,INDEX(Fleet!$N$5:$N$79,MATCH(B681,Fleet!$A$5:$A$79,0)),Assumptions!$B$7),Assumptions!$B$7))</f>
        <v/>
      </c>
      <c r="H681" s="34" t="str">
        <f aca="false">IF(OR(F681="",G681=""),"",F681*G681)</f>
        <v/>
      </c>
      <c r="I681" s="32"/>
      <c r="J681" s="32"/>
      <c r="K681" s="37"/>
      <c r="L681" s="38" t="str">
        <f aca="false">IF(C681="","",DATE(YEAR(C681),MONTH(C681),1))</f>
        <v/>
      </c>
      <c r="M681" s="34" t="str">
        <f aca="false">IF(F681="","",N(H681)+N(I681)-N(J681))</f>
        <v/>
      </c>
      <c r="N681" s="29"/>
    </row>
    <row r="682" customFormat="false" ht="15" hidden="false" customHeight="false" outlineLevel="0" collapsed="false">
      <c r="A682" s="29"/>
      <c r="B682" s="29"/>
      <c r="C682" s="31"/>
      <c r="D682" s="31"/>
      <c r="E682" s="35" t="str">
        <f aca="false">IF(OR(C682="",D682=""),"",MAX(1,D682-C682))</f>
        <v/>
      </c>
      <c r="F682" s="32"/>
      <c r="G682" s="36" t="str">
        <f aca="false">IF(B682="","",IFERROR(IF(N(INDEX(Fleet!$N$5:$N$79,MATCH(B682,Fleet!$A$5:$A$79,0)))&gt;0,INDEX(Fleet!$N$5:$N$79,MATCH(B682,Fleet!$A$5:$A$79,0)),Assumptions!$B$7),Assumptions!$B$7))</f>
        <v/>
      </c>
      <c r="H682" s="34" t="str">
        <f aca="false">IF(OR(F682="",G682=""),"",F682*G682)</f>
        <v/>
      </c>
      <c r="I682" s="32"/>
      <c r="J682" s="32"/>
      <c r="K682" s="37"/>
      <c r="L682" s="38" t="str">
        <f aca="false">IF(C682="","",DATE(YEAR(C682),MONTH(C682),1))</f>
        <v/>
      </c>
      <c r="M682" s="34" t="str">
        <f aca="false">IF(F682="","",N(H682)+N(I682)-N(J682))</f>
        <v/>
      </c>
      <c r="N682" s="29"/>
    </row>
    <row r="683" customFormat="false" ht="15" hidden="false" customHeight="false" outlineLevel="0" collapsed="false">
      <c r="A683" s="29"/>
      <c r="B683" s="29"/>
      <c r="C683" s="31"/>
      <c r="D683" s="31"/>
      <c r="E683" s="35" t="str">
        <f aca="false">IF(OR(C683="",D683=""),"",MAX(1,D683-C683))</f>
        <v/>
      </c>
      <c r="F683" s="32"/>
      <c r="G683" s="36" t="str">
        <f aca="false">IF(B683="","",IFERROR(IF(N(INDEX(Fleet!$N$5:$N$79,MATCH(B683,Fleet!$A$5:$A$79,0)))&gt;0,INDEX(Fleet!$N$5:$N$79,MATCH(B683,Fleet!$A$5:$A$79,0)),Assumptions!$B$7),Assumptions!$B$7))</f>
        <v/>
      </c>
      <c r="H683" s="34" t="str">
        <f aca="false">IF(OR(F683="",G683=""),"",F683*G683)</f>
        <v/>
      </c>
      <c r="I683" s="32"/>
      <c r="J683" s="32"/>
      <c r="K683" s="37"/>
      <c r="L683" s="38" t="str">
        <f aca="false">IF(C683="","",DATE(YEAR(C683),MONTH(C683),1))</f>
        <v/>
      </c>
      <c r="M683" s="34" t="str">
        <f aca="false">IF(F683="","",N(H683)+N(I683)-N(J683))</f>
        <v/>
      </c>
      <c r="N683" s="29"/>
    </row>
    <row r="684" customFormat="false" ht="15" hidden="false" customHeight="false" outlineLevel="0" collapsed="false">
      <c r="A684" s="29"/>
      <c r="B684" s="29"/>
      <c r="C684" s="31"/>
      <c r="D684" s="31"/>
      <c r="E684" s="35" t="str">
        <f aca="false">IF(OR(C684="",D684=""),"",MAX(1,D684-C684))</f>
        <v/>
      </c>
      <c r="F684" s="32"/>
      <c r="G684" s="36" t="str">
        <f aca="false">IF(B684="","",IFERROR(IF(N(INDEX(Fleet!$N$5:$N$79,MATCH(B684,Fleet!$A$5:$A$79,0)))&gt;0,INDEX(Fleet!$N$5:$N$79,MATCH(B684,Fleet!$A$5:$A$79,0)),Assumptions!$B$7),Assumptions!$B$7))</f>
        <v/>
      </c>
      <c r="H684" s="34" t="str">
        <f aca="false">IF(OR(F684="",G684=""),"",F684*G684)</f>
        <v/>
      </c>
      <c r="I684" s="32"/>
      <c r="J684" s="32"/>
      <c r="K684" s="37"/>
      <c r="L684" s="38" t="str">
        <f aca="false">IF(C684="","",DATE(YEAR(C684),MONTH(C684),1))</f>
        <v/>
      </c>
      <c r="M684" s="34" t="str">
        <f aca="false">IF(F684="","",N(H684)+N(I684)-N(J684))</f>
        <v/>
      </c>
      <c r="N684" s="29"/>
    </row>
    <row r="685" customFormat="false" ht="15" hidden="false" customHeight="false" outlineLevel="0" collapsed="false">
      <c r="A685" s="29"/>
      <c r="B685" s="29"/>
      <c r="C685" s="31"/>
      <c r="D685" s="31"/>
      <c r="E685" s="35" t="str">
        <f aca="false">IF(OR(C685="",D685=""),"",MAX(1,D685-C685))</f>
        <v/>
      </c>
      <c r="F685" s="32"/>
      <c r="G685" s="36" t="str">
        <f aca="false">IF(B685="","",IFERROR(IF(N(INDEX(Fleet!$N$5:$N$79,MATCH(B685,Fleet!$A$5:$A$79,0)))&gt;0,INDEX(Fleet!$N$5:$N$79,MATCH(B685,Fleet!$A$5:$A$79,0)),Assumptions!$B$7),Assumptions!$B$7))</f>
        <v/>
      </c>
      <c r="H685" s="34" t="str">
        <f aca="false">IF(OR(F685="",G685=""),"",F685*G685)</f>
        <v/>
      </c>
      <c r="I685" s="32"/>
      <c r="J685" s="32"/>
      <c r="K685" s="37"/>
      <c r="L685" s="38" t="str">
        <f aca="false">IF(C685="","",DATE(YEAR(C685),MONTH(C685),1))</f>
        <v/>
      </c>
      <c r="M685" s="34" t="str">
        <f aca="false">IF(F685="","",N(H685)+N(I685)-N(J685))</f>
        <v/>
      </c>
      <c r="N685" s="29"/>
    </row>
    <row r="686" customFormat="false" ht="15" hidden="false" customHeight="false" outlineLevel="0" collapsed="false">
      <c r="A686" s="29"/>
      <c r="B686" s="29"/>
      <c r="C686" s="31"/>
      <c r="D686" s="31"/>
      <c r="E686" s="35" t="str">
        <f aca="false">IF(OR(C686="",D686=""),"",MAX(1,D686-C686))</f>
        <v/>
      </c>
      <c r="F686" s="32"/>
      <c r="G686" s="36" t="str">
        <f aca="false">IF(B686="","",IFERROR(IF(N(INDEX(Fleet!$N$5:$N$79,MATCH(B686,Fleet!$A$5:$A$79,0)))&gt;0,INDEX(Fleet!$N$5:$N$79,MATCH(B686,Fleet!$A$5:$A$79,0)),Assumptions!$B$7),Assumptions!$B$7))</f>
        <v/>
      </c>
      <c r="H686" s="34" t="str">
        <f aca="false">IF(OR(F686="",G686=""),"",F686*G686)</f>
        <v/>
      </c>
      <c r="I686" s="32"/>
      <c r="J686" s="32"/>
      <c r="K686" s="37"/>
      <c r="L686" s="38" t="str">
        <f aca="false">IF(C686="","",DATE(YEAR(C686),MONTH(C686),1))</f>
        <v/>
      </c>
      <c r="M686" s="34" t="str">
        <f aca="false">IF(F686="","",N(H686)+N(I686)-N(J686))</f>
        <v/>
      </c>
      <c r="N686" s="29"/>
    </row>
    <row r="687" customFormat="false" ht="15" hidden="false" customHeight="false" outlineLevel="0" collapsed="false">
      <c r="A687" s="29"/>
      <c r="B687" s="29"/>
      <c r="C687" s="31"/>
      <c r="D687" s="31"/>
      <c r="E687" s="35" t="str">
        <f aca="false">IF(OR(C687="",D687=""),"",MAX(1,D687-C687))</f>
        <v/>
      </c>
      <c r="F687" s="32"/>
      <c r="G687" s="36" t="str">
        <f aca="false">IF(B687="","",IFERROR(IF(N(INDEX(Fleet!$N$5:$N$79,MATCH(B687,Fleet!$A$5:$A$79,0)))&gt;0,INDEX(Fleet!$N$5:$N$79,MATCH(B687,Fleet!$A$5:$A$79,0)),Assumptions!$B$7),Assumptions!$B$7))</f>
        <v/>
      </c>
      <c r="H687" s="34" t="str">
        <f aca="false">IF(OR(F687="",G687=""),"",F687*G687)</f>
        <v/>
      </c>
      <c r="I687" s="32"/>
      <c r="J687" s="32"/>
      <c r="K687" s="37"/>
      <c r="L687" s="38" t="str">
        <f aca="false">IF(C687="","",DATE(YEAR(C687),MONTH(C687),1))</f>
        <v/>
      </c>
      <c r="M687" s="34" t="str">
        <f aca="false">IF(F687="","",N(H687)+N(I687)-N(J687))</f>
        <v/>
      </c>
      <c r="N687" s="29"/>
    </row>
    <row r="688" customFormat="false" ht="15" hidden="false" customHeight="false" outlineLevel="0" collapsed="false">
      <c r="A688" s="29"/>
      <c r="B688" s="29"/>
      <c r="C688" s="31"/>
      <c r="D688" s="31"/>
      <c r="E688" s="35" t="str">
        <f aca="false">IF(OR(C688="",D688=""),"",MAX(1,D688-C688))</f>
        <v/>
      </c>
      <c r="F688" s="32"/>
      <c r="G688" s="36" t="str">
        <f aca="false">IF(B688="","",IFERROR(IF(N(INDEX(Fleet!$N$5:$N$79,MATCH(B688,Fleet!$A$5:$A$79,0)))&gt;0,INDEX(Fleet!$N$5:$N$79,MATCH(B688,Fleet!$A$5:$A$79,0)),Assumptions!$B$7),Assumptions!$B$7))</f>
        <v/>
      </c>
      <c r="H688" s="34" t="str">
        <f aca="false">IF(OR(F688="",G688=""),"",F688*G688)</f>
        <v/>
      </c>
      <c r="I688" s="32"/>
      <c r="J688" s="32"/>
      <c r="K688" s="37"/>
      <c r="L688" s="38" t="str">
        <f aca="false">IF(C688="","",DATE(YEAR(C688),MONTH(C688),1))</f>
        <v/>
      </c>
      <c r="M688" s="34" t="str">
        <f aca="false">IF(F688="","",N(H688)+N(I688)-N(J688))</f>
        <v/>
      </c>
      <c r="N688" s="29"/>
    </row>
    <row r="689" customFormat="false" ht="15" hidden="false" customHeight="false" outlineLevel="0" collapsed="false">
      <c r="A689" s="29"/>
      <c r="B689" s="29"/>
      <c r="C689" s="31"/>
      <c r="D689" s="31"/>
      <c r="E689" s="35" t="str">
        <f aca="false">IF(OR(C689="",D689=""),"",MAX(1,D689-C689))</f>
        <v/>
      </c>
      <c r="F689" s="32"/>
      <c r="G689" s="36" t="str">
        <f aca="false">IF(B689="","",IFERROR(IF(N(INDEX(Fleet!$N$5:$N$79,MATCH(B689,Fleet!$A$5:$A$79,0)))&gt;0,INDEX(Fleet!$N$5:$N$79,MATCH(B689,Fleet!$A$5:$A$79,0)),Assumptions!$B$7),Assumptions!$B$7))</f>
        <v/>
      </c>
      <c r="H689" s="34" t="str">
        <f aca="false">IF(OR(F689="",G689=""),"",F689*G689)</f>
        <v/>
      </c>
      <c r="I689" s="32"/>
      <c r="J689" s="32"/>
      <c r="K689" s="37"/>
      <c r="L689" s="38" t="str">
        <f aca="false">IF(C689="","",DATE(YEAR(C689),MONTH(C689),1))</f>
        <v/>
      </c>
      <c r="M689" s="34" t="str">
        <f aca="false">IF(F689="","",N(H689)+N(I689)-N(J689))</f>
        <v/>
      </c>
      <c r="N689" s="29"/>
    </row>
    <row r="690" customFormat="false" ht="15" hidden="false" customHeight="false" outlineLevel="0" collapsed="false">
      <c r="A690" s="29"/>
      <c r="B690" s="29"/>
      <c r="C690" s="31"/>
      <c r="D690" s="31"/>
      <c r="E690" s="35" t="str">
        <f aca="false">IF(OR(C690="",D690=""),"",MAX(1,D690-C690))</f>
        <v/>
      </c>
      <c r="F690" s="32"/>
      <c r="G690" s="36" t="str">
        <f aca="false">IF(B690="","",IFERROR(IF(N(INDEX(Fleet!$N$5:$N$79,MATCH(B690,Fleet!$A$5:$A$79,0)))&gt;0,INDEX(Fleet!$N$5:$N$79,MATCH(B690,Fleet!$A$5:$A$79,0)),Assumptions!$B$7),Assumptions!$B$7))</f>
        <v/>
      </c>
      <c r="H690" s="34" t="str">
        <f aca="false">IF(OR(F690="",G690=""),"",F690*G690)</f>
        <v/>
      </c>
      <c r="I690" s="32"/>
      <c r="J690" s="32"/>
      <c r="K690" s="37"/>
      <c r="L690" s="38" t="str">
        <f aca="false">IF(C690="","",DATE(YEAR(C690),MONTH(C690),1))</f>
        <v/>
      </c>
      <c r="M690" s="34" t="str">
        <f aca="false">IF(F690="","",N(H690)+N(I690)-N(J690))</f>
        <v/>
      </c>
      <c r="N690" s="29"/>
    </row>
    <row r="691" customFormat="false" ht="15" hidden="false" customHeight="false" outlineLevel="0" collapsed="false">
      <c r="A691" s="29"/>
      <c r="B691" s="29"/>
      <c r="C691" s="31"/>
      <c r="D691" s="31"/>
      <c r="E691" s="35" t="str">
        <f aca="false">IF(OR(C691="",D691=""),"",MAX(1,D691-C691))</f>
        <v/>
      </c>
      <c r="F691" s="32"/>
      <c r="G691" s="36" t="str">
        <f aca="false">IF(B691="","",IFERROR(IF(N(INDEX(Fleet!$N$5:$N$79,MATCH(B691,Fleet!$A$5:$A$79,0)))&gt;0,INDEX(Fleet!$N$5:$N$79,MATCH(B691,Fleet!$A$5:$A$79,0)),Assumptions!$B$7),Assumptions!$B$7))</f>
        <v/>
      </c>
      <c r="H691" s="34" t="str">
        <f aca="false">IF(OR(F691="",G691=""),"",F691*G691)</f>
        <v/>
      </c>
      <c r="I691" s="32"/>
      <c r="J691" s="32"/>
      <c r="K691" s="37"/>
      <c r="L691" s="38" t="str">
        <f aca="false">IF(C691="","",DATE(YEAR(C691),MONTH(C691),1))</f>
        <v/>
      </c>
      <c r="M691" s="34" t="str">
        <f aca="false">IF(F691="","",N(H691)+N(I691)-N(J691))</f>
        <v/>
      </c>
      <c r="N691" s="29"/>
    </row>
    <row r="692" customFormat="false" ht="15" hidden="false" customHeight="false" outlineLevel="0" collapsed="false">
      <c r="A692" s="29"/>
      <c r="B692" s="29"/>
      <c r="C692" s="31"/>
      <c r="D692" s="31"/>
      <c r="E692" s="35" t="str">
        <f aca="false">IF(OR(C692="",D692=""),"",MAX(1,D692-C692))</f>
        <v/>
      </c>
      <c r="F692" s="32"/>
      <c r="G692" s="36" t="str">
        <f aca="false">IF(B692="","",IFERROR(IF(N(INDEX(Fleet!$N$5:$N$79,MATCH(B692,Fleet!$A$5:$A$79,0)))&gt;0,INDEX(Fleet!$N$5:$N$79,MATCH(B692,Fleet!$A$5:$A$79,0)),Assumptions!$B$7),Assumptions!$B$7))</f>
        <v/>
      </c>
      <c r="H692" s="34" t="str">
        <f aca="false">IF(OR(F692="",G692=""),"",F692*G692)</f>
        <v/>
      </c>
      <c r="I692" s="32"/>
      <c r="J692" s="32"/>
      <c r="K692" s="37"/>
      <c r="L692" s="38" t="str">
        <f aca="false">IF(C692="","",DATE(YEAR(C692),MONTH(C692),1))</f>
        <v/>
      </c>
      <c r="M692" s="34" t="str">
        <f aca="false">IF(F692="","",N(H692)+N(I692)-N(J692))</f>
        <v/>
      </c>
      <c r="N692" s="29"/>
    </row>
    <row r="693" customFormat="false" ht="15" hidden="false" customHeight="false" outlineLevel="0" collapsed="false">
      <c r="A693" s="29"/>
      <c r="B693" s="29"/>
      <c r="C693" s="31"/>
      <c r="D693" s="31"/>
      <c r="E693" s="35" t="str">
        <f aca="false">IF(OR(C693="",D693=""),"",MAX(1,D693-C693))</f>
        <v/>
      </c>
      <c r="F693" s="32"/>
      <c r="G693" s="36" t="str">
        <f aca="false">IF(B693="","",IFERROR(IF(N(INDEX(Fleet!$N$5:$N$79,MATCH(B693,Fleet!$A$5:$A$79,0)))&gt;0,INDEX(Fleet!$N$5:$N$79,MATCH(B693,Fleet!$A$5:$A$79,0)),Assumptions!$B$7),Assumptions!$B$7))</f>
        <v/>
      </c>
      <c r="H693" s="34" t="str">
        <f aca="false">IF(OR(F693="",G693=""),"",F693*G693)</f>
        <v/>
      </c>
      <c r="I693" s="32"/>
      <c r="J693" s="32"/>
      <c r="K693" s="37"/>
      <c r="L693" s="38" t="str">
        <f aca="false">IF(C693="","",DATE(YEAR(C693),MONTH(C693),1))</f>
        <v/>
      </c>
      <c r="M693" s="34" t="str">
        <f aca="false">IF(F693="","",N(H693)+N(I693)-N(J693))</f>
        <v/>
      </c>
      <c r="N693" s="29"/>
    </row>
    <row r="694" customFormat="false" ht="15" hidden="false" customHeight="false" outlineLevel="0" collapsed="false">
      <c r="A694" s="29"/>
      <c r="B694" s="29"/>
      <c r="C694" s="31"/>
      <c r="D694" s="31"/>
      <c r="E694" s="35" t="str">
        <f aca="false">IF(OR(C694="",D694=""),"",MAX(1,D694-C694))</f>
        <v/>
      </c>
      <c r="F694" s="32"/>
      <c r="G694" s="36" t="str">
        <f aca="false">IF(B694="","",IFERROR(IF(N(INDEX(Fleet!$N$5:$N$79,MATCH(B694,Fleet!$A$5:$A$79,0)))&gt;0,INDEX(Fleet!$N$5:$N$79,MATCH(B694,Fleet!$A$5:$A$79,0)),Assumptions!$B$7),Assumptions!$B$7))</f>
        <v/>
      </c>
      <c r="H694" s="34" t="str">
        <f aca="false">IF(OR(F694="",G694=""),"",F694*G694)</f>
        <v/>
      </c>
      <c r="I694" s="32"/>
      <c r="J694" s="32"/>
      <c r="K694" s="37"/>
      <c r="L694" s="38" t="str">
        <f aca="false">IF(C694="","",DATE(YEAR(C694),MONTH(C694),1))</f>
        <v/>
      </c>
      <c r="M694" s="34" t="str">
        <f aca="false">IF(F694="","",N(H694)+N(I694)-N(J694))</f>
        <v/>
      </c>
      <c r="N694" s="29"/>
    </row>
    <row r="695" customFormat="false" ht="15" hidden="false" customHeight="false" outlineLevel="0" collapsed="false">
      <c r="A695" s="29"/>
      <c r="B695" s="29"/>
      <c r="C695" s="31"/>
      <c r="D695" s="31"/>
      <c r="E695" s="35" t="str">
        <f aca="false">IF(OR(C695="",D695=""),"",MAX(1,D695-C695))</f>
        <v/>
      </c>
      <c r="F695" s="32"/>
      <c r="G695" s="36" t="str">
        <f aca="false">IF(B695="","",IFERROR(IF(N(INDEX(Fleet!$N$5:$N$79,MATCH(B695,Fleet!$A$5:$A$79,0)))&gt;0,INDEX(Fleet!$N$5:$N$79,MATCH(B695,Fleet!$A$5:$A$79,0)),Assumptions!$B$7),Assumptions!$B$7))</f>
        <v/>
      </c>
      <c r="H695" s="34" t="str">
        <f aca="false">IF(OR(F695="",G695=""),"",F695*G695)</f>
        <v/>
      </c>
      <c r="I695" s="32"/>
      <c r="J695" s="32"/>
      <c r="K695" s="37"/>
      <c r="L695" s="38" t="str">
        <f aca="false">IF(C695="","",DATE(YEAR(C695),MONTH(C695),1))</f>
        <v/>
      </c>
      <c r="M695" s="34" t="str">
        <f aca="false">IF(F695="","",N(H695)+N(I695)-N(J695))</f>
        <v/>
      </c>
      <c r="N695" s="29"/>
    </row>
    <row r="696" customFormat="false" ht="15" hidden="false" customHeight="false" outlineLevel="0" collapsed="false">
      <c r="A696" s="29"/>
      <c r="B696" s="29"/>
      <c r="C696" s="31"/>
      <c r="D696" s="31"/>
      <c r="E696" s="35" t="str">
        <f aca="false">IF(OR(C696="",D696=""),"",MAX(1,D696-C696))</f>
        <v/>
      </c>
      <c r="F696" s="32"/>
      <c r="G696" s="36" t="str">
        <f aca="false">IF(B696="","",IFERROR(IF(N(INDEX(Fleet!$N$5:$N$79,MATCH(B696,Fleet!$A$5:$A$79,0)))&gt;0,INDEX(Fleet!$N$5:$N$79,MATCH(B696,Fleet!$A$5:$A$79,0)),Assumptions!$B$7),Assumptions!$B$7))</f>
        <v/>
      </c>
      <c r="H696" s="34" t="str">
        <f aca="false">IF(OR(F696="",G696=""),"",F696*G696)</f>
        <v/>
      </c>
      <c r="I696" s="32"/>
      <c r="J696" s="32"/>
      <c r="K696" s="37"/>
      <c r="L696" s="38" t="str">
        <f aca="false">IF(C696="","",DATE(YEAR(C696),MONTH(C696),1))</f>
        <v/>
      </c>
      <c r="M696" s="34" t="str">
        <f aca="false">IF(F696="","",N(H696)+N(I696)-N(J696))</f>
        <v/>
      </c>
      <c r="N696" s="29"/>
    </row>
    <row r="697" customFormat="false" ht="15" hidden="false" customHeight="false" outlineLevel="0" collapsed="false">
      <c r="A697" s="29"/>
      <c r="B697" s="29"/>
      <c r="C697" s="31"/>
      <c r="D697" s="31"/>
      <c r="E697" s="35" t="str">
        <f aca="false">IF(OR(C697="",D697=""),"",MAX(1,D697-C697))</f>
        <v/>
      </c>
      <c r="F697" s="32"/>
      <c r="G697" s="36" t="str">
        <f aca="false">IF(B697="","",IFERROR(IF(N(INDEX(Fleet!$N$5:$N$79,MATCH(B697,Fleet!$A$5:$A$79,0)))&gt;0,INDEX(Fleet!$N$5:$N$79,MATCH(B697,Fleet!$A$5:$A$79,0)),Assumptions!$B$7),Assumptions!$B$7))</f>
        <v/>
      </c>
      <c r="H697" s="34" t="str">
        <f aca="false">IF(OR(F697="",G697=""),"",F697*G697)</f>
        <v/>
      </c>
      <c r="I697" s="32"/>
      <c r="J697" s="32"/>
      <c r="K697" s="37"/>
      <c r="L697" s="38" t="str">
        <f aca="false">IF(C697="","",DATE(YEAR(C697),MONTH(C697),1))</f>
        <v/>
      </c>
      <c r="M697" s="34" t="str">
        <f aca="false">IF(F697="","",N(H697)+N(I697)-N(J697))</f>
        <v/>
      </c>
      <c r="N697" s="29"/>
    </row>
    <row r="698" customFormat="false" ht="15" hidden="false" customHeight="false" outlineLevel="0" collapsed="false">
      <c r="A698" s="29"/>
      <c r="B698" s="29"/>
      <c r="C698" s="31"/>
      <c r="D698" s="31"/>
      <c r="E698" s="35" t="str">
        <f aca="false">IF(OR(C698="",D698=""),"",MAX(1,D698-C698))</f>
        <v/>
      </c>
      <c r="F698" s="32"/>
      <c r="G698" s="36" t="str">
        <f aca="false">IF(B698="","",IFERROR(IF(N(INDEX(Fleet!$N$5:$N$79,MATCH(B698,Fleet!$A$5:$A$79,0)))&gt;0,INDEX(Fleet!$N$5:$N$79,MATCH(B698,Fleet!$A$5:$A$79,0)),Assumptions!$B$7),Assumptions!$B$7))</f>
        <v/>
      </c>
      <c r="H698" s="34" t="str">
        <f aca="false">IF(OR(F698="",G698=""),"",F698*G698)</f>
        <v/>
      </c>
      <c r="I698" s="32"/>
      <c r="J698" s="32"/>
      <c r="K698" s="37"/>
      <c r="L698" s="38" t="str">
        <f aca="false">IF(C698="","",DATE(YEAR(C698),MONTH(C698),1))</f>
        <v/>
      </c>
      <c r="M698" s="34" t="str">
        <f aca="false">IF(F698="","",N(H698)+N(I698)-N(J698))</f>
        <v/>
      </c>
      <c r="N698" s="29"/>
    </row>
    <row r="699" customFormat="false" ht="15" hidden="false" customHeight="false" outlineLevel="0" collapsed="false">
      <c r="A699" s="29"/>
      <c r="B699" s="29"/>
      <c r="C699" s="31"/>
      <c r="D699" s="31"/>
      <c r="E699" s="35" t="str">
        <f aca="false">IF(OR(C699="",D699=""),"",MAX(1,D699-C699))</f>
        <v/>
      </c>
      <c r="F699" s="32"/>
      <c r="G699" s="36" t="str">
        <f aca="false">IF(B699="","",IFERROR(IF(N(INDEX(Fleet!$N$5:$N$79,MATCH(B699,Fleet!$A$5:$A$79,0)))&gt;0,INDEX(Fleet!$N$5:$N$79,MATCH(B699,Fleet!$A$5:$A$79,0)),Assumptions!$B$7),Assumptions!$B$7))</f>
        <v/>
      </c>
      <c r="H699" s="34" t="str">
        <f aca="false">IF(OR(F699="",G699=""),"",F699*G699)</f>
        <v/>
      </c>
      <c r="I699" s="32"/>
      <c r="J699" s="32"/>
      <c r="K699" s="37"/>
      <c r="L699" s="38" t="str">
        <f aca="false">IF(C699="","",DATE(YEAR(C699),MONTH(C699),1))</f>
        <v/>
      </c>
      <c r="M699" s="34" t="str">
        <f aca="false">IF(F699="","",N(H699)+N(I699)-N(J699))</f>
        <v/>
      </c>
      <c r="N699" s="29"/>
    </row>
    <row r="700" customFormat="false" ht="15" hidden="false" customHeight="false" outlineLevel="0" collapsed="false">
      <c r="A700" s="29"/>
      <c r="B700" s="29"/>
      <c r="C700" s="31"/>
      <c r="D700" s="31"/>
      <c r="E700" s="35" t="str">
        <f aca="false">IF(OR(C700="",D700=""),"",MAX(1,D700-C700))</f>
        <v/>
      </c>
      <c r="F700" s="32"/>
      <c r="G700" s="36" t="str">
        <f aca="false">IF(B700="","",IFERROR(IF(N(INDEX(Fleet!$N$5:$N$79,MATCH(B700,Fleet!$A$5:$A$79,0)))&gt;0,INDEX(Fleet!$N$5:$N$79,MATCH(B700,Fleet!$A$5:$A$79,0)),Assumptions!$B$7),Assumptions!$B$7))</f>
        <v/>
      </c>
      <c r="H700" s="34" t="str">
        <f aca="false">IF(OR(F700="",G700=""),"",F700*G700)</f>
        <v/>
      </c>
      <c r="I700" s="32"/>
      <c r="J700" s="32"/>
      <c r="K700" s="37"/>
      <c r="L700" s="38" t="str">
        <f aca="false">IF(C700="","",DATE(YEAR(C700),MONTH(C700),1))</f>
        <v/>
      </c>
      <c r="M700" s="34" t="str">
        <f aca="false">IF(F700="","",N(H700)+N(I700)-N(J700))</f>
        <v/>
      </c>
      <c r="N700" s="29"/>
    </row>
    <row r="701" customFormat="false" ht="15" hidden="false" customHeight="false" outlineLevel="0" collapsed="false">
      <c r="A701" s="29"/>
      <c r="B701" s="29"/>
      <c r="C701" s="31"/>
      <c r="D701" s="31"/>
      <c r="E701" s="35" t="str">
        <f aca="false">IF(OR(C701="",D701=""),"",MAX(1,D701-C701))</f>
        <v/>
      </c>
      <c r="F701" s="32"/>
      <c r="G701" s="36" t="str">
        <f aca="false">IF(B701="","",IFERROR(IF(N(INDEX(Fleet!$N$5:$N$79,MATCH(B701,Fleet!$A$5:$A$79,0)))&gt;0,INDEX(Fleet!$N$5:$N$79,MATCH(B701,Fleet!$A$5:$A$79,0)),Assumptions!$B$7),Assumptions!$B$7))</f>
        <v/>
      </c>
      <c r="H701" s="34" t="str">
        <f aca="false">IF(OR(F701="",G701=""),"",F701*G701)</f>
        <v/>
      </c>
      <c r="I701" s="32"/>
      <c r="J701" s="32"/>
      <c r="K701" s="37"/>
      <c r="L701" s="38" t="str">
        <f aca="false">IF(C701="","",DATE(YEAR(C701),MONTH(C701),1))</f>
        <v/>
      </c>
      <c r="M701" s="34" t="str">
        <f aca="false">IF(F701="","",N(H701)+N(I701)-N(J701))</f>
        <v/>
      </c>
      <c r="N701" s="29"/>
    </row>
    <row r="702" customFormat="false" ht="15" hidden="false" customHeight="false" outlineLevel="0" collapsed="false">
      <c r="A702" s="29"/>
      <c r="B702" s="29"/>
      <c r="C702" s="31"/>
      <c r="D702" s="31"/>
      <c r="E702" s="35" t="str">
        <f aca="false">IF(OR(C702="",D702=""),"",MAX(1,D702-C702))</f>
        <v/>
      </c>
      <c r="F702" s="32"/>
      <c r="G702" s="36" t="str">
        <f aca="false">IF(B702="","",IFERROR(IF(N(INDEX(Fleet!$N$5:$N$79,MATCH(B702,Fleet!$A$5:$A$79,0)))&gt;0,INDEX(Fleet!$N$5:$N$79,MATCH(B702,Fleet!$A$5:$A$79,0)),Assumptions!$B$7),Assumptions!$B$7))</f>
        <v/>
      </c>
      <c r="H702" s="34" t="str">
        <f aca="false">IF(OR(F702="",G702=""),"",F702*G702)</f>
        <v/>
      </c>
      <c r="I702" s="32"/>
      <c r="J702" s="32"/>
      <c r="K702" s="37"/>
      <c r="L702" s="38" t="str">
        <f aca="false">IF(C702="","",DATE(YEAR(C702),MONTH(C702),1))</f>
        <v/>
      </c>
      <c r="M702" s="34" t="str">
        <f aca="false">IF(F702="","",N(H702)+N(I702)-N(J702))</f>
        <v/>
      </c>
      <c r="N702" s="29"/>
    </row>
    <row r="703" customFormat="false" ht="15" hidden="false" customHeight="false" outlineLevel="0" collapsed="false">
      <c r="A703" s="29"/>
      <c r="B703" s="29"/>
      <c r="C703" s="31"/>
      <c r="D703" s="31"/>
      <c r="E703" s="35" t="str">
        <f aca="false">IF(OR(C703="",D703=""),"",MAX(1,D703-C703))</f>
        <v/>
      </c>
      <c r="F703" s="32"/>
      <c r="G703" s="36" t="str">
        <f aca="false">IF(B703="","",IFERROR(IF(N(INDEX(Fleet!$N$5:$N$79,MATCH(B703,Fleet!$A$5:$A$79,0)))&gt;0,INDEX(Fleet!$N$5:$N$79,MATCH(B703,Fleet!$A$5:$A$79,0)),Assumptions!$B$7),Assumptions!$B$7))</f>
        <v/>
      </c>
      <c r="H703" s="34" t="str">
        <f aca="false">IF(OR(F703="",G703=""),"",F703*G703)</f>
        <v/>
      </c>
      <c r="I703" s="32"/>
      <c r="J703" s="32"/>
      <c r="K703" s="37"/>
      <c r="L703" s="38" t="str">
        <f aca="false">IF(C703="","",DATE(YEAR(C703),MONTH(C703),1))</f>
        <v/>
      </c>
      <c r="M703" s="34" t="str">
        <f aca="false">IF(F703="","",N(H703)+N(I703)-N(J703))</f>
        <v/>
      </c>
      <c r="N703" s="29"/>
    </row>
    <row r="704" customFormat="false" ht="15" hidden="false" customHeight="false" outlineLevel="0" collapsed="false">
      <c r="A704" s="29"/>
      <c r="B704" s="29"/>
      <c r="C704" s="31"/>
      <c r="D704" s="31"/>
      <c r="E704" s="35" t="str">
        <f aca="false">IF(OR(C704="",D704=""),"",MAX(1,D704-C704))</f>
        <v/>
      </c>
      <c r="F704" s="32"/>
      <c r="G704" s="36" t="str">
        <f aca="false">IF(B704="","",IFERROR(IF(N(INDEX(Fleet!$N$5:$N$79,MATCH(B704,Fleet!$A$5:$A$79,0)))&gt;0,INDEX(Fleet!$N$5:$N$79,MATCH(B704,Fleet!$A$5:$A$79,0)),Assumptions!$B$7),Assumptions!$B$7))</f>
        <v/>
      </c>
      <c r="H704" s="34" t="str">
        <f aca="false">IF(OR(F704="",G704=""),"",F704*G704)</f>
        <v/>
      </c>
      <c r="I704" s="32"/>
      <c r="J704" s="32"/>
      <c r="K704" s="37"/>
      <c r="L704" s="38" t="str">
        <f aca="false">IF(C704="","",DATE(YEAR(C704),MONTH(C704),1))</f>
        <v/>
      </c>
      <c r="M704" s="34" t="str">
        <f aca="false">IF(F704="","",N(H704)+N(I704)-N(J704))</f>
        <v/>
      </c>
      <c r="N704" s="29"/>
    </row>
    <row r="705" customFormat="false" ht="15" hidden="false" customHeight="false" outlineLevel="0" collapsed="false">
      <c r="A705" s="29"/>
      <c r="B705" s="29"/>
      <c r="C705" s="31"/>
      <c r="D705" s="31"/>
      <c r="E705" s="35" t="str">
        <f aca="false">IF(OR(C705="",D705=""),"",MAX(1,D705-C705))</f>
        <v/>
      </c>
      <c r="F705" s="32"/>
      <c r="G705" s="36" t="str">
        <f aca="false">IF(B705="","",IFERROR(IF(N(INDEX(Fleet!$N$5:$N$79,MATCH(B705,Fleet!$A$5:$A$79,0)))&gt;0,INDEX(Fleet!$N$5:$N$79,MATCH(B705,Fleet!$A$5:$A$79,0)),Assumptions!$B$7),Assumptions!$B$7))</f>
        <v/>
      </c>
      <c r="H705" s="34" t="str">
        <f aca="false">IF(OR(F705="",G705=""),"",F705*G705)</f>
        <v/>
      </c>
      <c r="I705" s="32"/>
      <c r="J705" s="32"/>
      <c r="K705" s="37"/>
      <c r="L705" s="38" t="str">
        <f aca="false">IF(C705="","",DATE(YEAR(C705),MONTH(C705),1))</f>
        <v/>
      </c>
      <c r="M705" s="34" t="str">
        <f aca="false">IF(F705="","",N(H705)+N(I705)-N(J705))</f>
        <v/>
      </c>
      <c r="N705" s="29"/>
    </row>
    <row r="706" customFormat="false" ht="15" hidden="false" customHeight="false" outlineLevel="0" collapsed="false">
      <c r="A706" s="29"/>
      <c r="B706" s="29"/>
      <c r="C706" s="31"/>
      <c r="D706" s="31"/>
      <c r="E706" s="35" t="str">
        <f aca="false">IF(OR(C706="",D706=""),"",MAX(1,D706-C706))</f>
        <v/>
      </c>
      <c r="F706" s="32"/>
      <c r="G706" s="36" t="str">
        <f aca="false">IF(B706="","",IFERROR(IF(N(INDEX(Fleet!$N$5:$N$79,MATCH(B706,Fleet!$A$5:$A$79,0)))&gt;0,INDEX(Fleet!$N$5:$N$79,MATCH(B706,Fleet!$A$5:$A$79,0)),Assumptions!$B$7),Assumptions!$B$7))</f>
        <v/>
      </c>
      <c r="H706" s="34" t="str">
        <f aca="false">IF(OR(F706="",G706=""),"",F706*G706)</f>
        <v/>
      </c>
      <c r="I706" s="32"/>
      <c r="J706" s="32"/>
      <c r="K706" s="37"/>
      <c r="L706" s="38" t="str">
        <f aca="false">IF(C706="","",DATE(YEAR(C706),MONTH(C706),1))</f>
        <v/>
      </c>
      <c r="M706" s="34" t="str">
        <f aca="false">IF(F706="","",N(H706)+N(I706)-N(J706))</f>
        <v/>
      </c>
      <c r="N706" s="29"/>
    </row>
    <row r="707" customFormat="false" ht="15" hidden="false" customHeight="false" outlineLevel="0" collapsed="false">
      <c r="A707" s="29"/>
      <c r="B707" s="29"/>
      <c r="C707" s="31"/>
      <c r="D707" s="31"/>
      <c r="E707" s="35" t="str">
        <f aca="false">IF(OR(C707="",D707=""),"",MAX(1,D707-C707))</f>
        <v/>
      </c>
      <c r="F707" s="32"/>
      <c r="G707" s="36" t="str">
        <f aca="false">IF(B707="","",IFERROR(IF(N(INDEX(Fleet!$N$5:$N$79,MATCH(B707,Fleet!$A$5:$A$79,0)))&gt;0,INDEX(Fleet!$N$5:$N$79,MATCH(B707,Fleet!$A$5:$A$79,0)),Assumptions!$B$7),Assumptions!$B$7))</f>
        <v/>
      </c>
      <c r="H707" s="34" t="str">
        <f aca="false">IF(OR(F707="",G707=""),"",F707*G707)</f>
        <v/>
      </c>
      <c r="I707" s="32"/>
      <c r="J707" s="32"/>
      <c r="K707" s="37"/>
      <c r="L707" s="38" t="str">
        <f aca="false">IF(C707="","",DATE(YEAR(C707),MONTH(C707),1))</f>
        <v/>
      </c>
      <c r="M707" s="34" t="str">
        <f aca="false">IF(F707="","",N(H707)+N(I707)-N(J707))</f>
        <v/>
      </c>
      <c r="N707" s="29"/>
    </row>
    <row r="708" customFormat="false" ht="15" hidden="false" customHeight="false" outlineLevel="0" collapsed="false">
      <c r="A708" s="29"/>
      <c r="B708" s="29"/>
      <c r="C708" s="31"/>
      <c r="D708" s="31"/>
      <c r="E708" s="35" t="str">
        <f aca="false">IF(OR(C708="",D708=""),"",MAX(1,D708-C708))</f>
        <v/>
      </c>
      <c r="F708" s="32"/>
      <c r="G708" s="36" t="str">
        <f aca="false">IF(B708="","",IFERROR(IF(N(INDEX(Fleet!$N$5:$N$79,MATCH(B708,Fleet!$A$5:$A$79,0)))&gt;0,INDEX(Fleet!$N$5:$N$79,MATCH(B708,Fleet!$A$5:$A$79,0)),Assumptions!$B$7),Assumptions!$B$7))</f>
        <v/>
      </c>
      <c r="H708" s="34" t="str">
        <f aca="false">IF(OR(F708="",G708=""),"",F708*G708)</f>
        <v/>
      </c>
      <c r="I708" s="32"/>
      <c r="J708" s="32"/>
      <c r="K708" s="37"/>
      <c r="L708" s="38" t="str">
        <f aca="false">IF(C708="","",DATE(YEAR(C708),MONTH(C708),1))</f>
        <v/>
      </c>
      <c r="M708" s="34" t="str">
        <f aca="false">IF(F708="","",N(H708)+N(I708)-N(J708))</f>
        <v/>
      </c>
      <c r="N708" s="29"/>
    </row>
    <row r="709" customFormat="false" ht="15" hidden="false" customHeight="false" outlineLevel="0" collapsed="false">
      <c r="A709" s="29"/>
      <c r="B709" s="29"/>
      <c r="C709" s="31"/>
      <c r="D709" s="31"/>
      <c r="E709" s="35" t="str">
        <f aca="false">IF(OR(C709="",D709=""),"",MAX(1,D709-C709))</f>
        <v/>
      </c>
      <c r="F709" s="32"/>
      <c r="G709" s="36" t="str">
        <f aca="false">IF(B709="","",IFERROR(IF(N(INDEX(Fleet!$N$5:$N$79,MATCH(B709,Fleet!$A$5:$A$79,0)))&gt;0,INDEX(Fleet!$N$5:$N$79,MATCH(B709,Fleet!$A$5:$A$79,0)),Assumptions!$B$7),Assumptions!$B$7))</f>
        <v/>
      </c>
      <c r="H709" s="34" t="str">
        <f aca="false">IF(OR(F709="",G709=""),"",F709*G709)</f>
        <v/>
      </c>
      <c r="I709" s="32"/>
      <c r="J709" s="32"/>
      <c r="K709" s="37"/>
      <c r="L709" s="38" t="str">
        <f aca="false">IF(C709="","",DATE(YEAR(C709),MONTH(C709),1))</f>
        <v/>
      </c>
      <c r="M709" s="34" t="str">
        <f aca="false">IF(F709="","",N(H709)+N(I709)-N(J709))</f>
        <v/>
      </c>
      <c r="N709" s="29"/>
    </row>
    <row r="710" customFormat="false" ht="15" hidden="false" customHeight="false" outlineLevel="0" collapsed="false">
      <c r="A710" s="29"/>
      <c r="B710" s="29"/>
      <c r="C710" s="31"/>
      <c r="D710" s="31"/>
      <c r="E710" s="35" t="str">
        <f aca="false">IF(OR(C710="",D710=""),"",MAX(1,D710-C710))</f>
        <v/>
      </c>
      <c r="F710" s="32"/>
      <c r="G710" s="36" t="str">
        <f aca="false">IF(B710="","",IFERROR(IF(N(INDEX(Fleet!$N$5:$N$79,MATCH(B710,Fleet!$A$5:$A$79,0)))&gt;0,INDEX(Fleet!$N$5:$N$79,MATCH(B710,Fleet!$A$5:$A$79,0)),Assumptions!$B$7),Assumptions!$B$7))</f>
        <v/>
      </c>
      <c r="H710" s="34" t="str">
        <f aca="false">IF(OR(F710="",G710=""),"",F710*G710)</f>
        <v/>
      </c>
      <c r="I710" s="32"/>
      <c r="J710" s="32"/>
      <c r="K710" s="37"/>
      <c r="L710" s="38" t="str">
        <f aca="false">IF(C710="","",DATE(YEAR(C710),MONTH(C710),1))</f>
        <v/>
      </c>
      <c r="M710" s="34" t="str">
        <f aca="false">IF(F710="","",N(H710)+N(I710)-N(J710))</f>
        <v/>
      </c>
      <c r="N710" s="29"/>
    </row>
    <row r="711" customFormat="false" ht="15" hidden="false" customHeight="false" outlineLevel="0" collapsed="false">
      <c r="A711" s="29"/>
      <c r="B711" s="29"/>
      <c r="C711" s="31"/>
      <c r="D711" s="31"/>
      <c r="E711" s="35" t="str">
        <f aca="false">IF(OR(C711="",D711=""),"",MAX(1,D711-C711))</f>
        <v/>
      </c>
      <c r="F711" s="32"/>
      <c r="G711" s="36" t="str">
        <f aca="false">IF(B711="","",IFERROR(IF(N(INDEX(Fleet!$N$5:$N$79,MATCH(B711,Fleet!$A$5:$A$79,0)))&gt;0,INDEX(Fleet!$N$5:$N$79,MATCH(B711,Fleet!$A$5:$A$79,0)),Assumptions!$B$7),Assumptions!$B$7))</f>
        <v/>
      </c>
      <c r="H711" s="34" t="str">
        <f aca="false">IF(OR(F711="",G711=""),"",F711*G711)</f>
        <v/>
      </c>
      <c r="I711" s="32"/>
      <c r="J711" s="32"/>
      <c r="K711" s="37"/>
      <c r="L711" s="38" t="str">
        <f aca="false">IF(C711="","",DATE(YEAR(C711),MONTH(C711),1))</f>
        <v/>
      </c>
      <c r="M711" s="34" t="str">
        <f aca="false">IF(F711="","",N(H711)+N(I711)-N(J711))</f>
        <v/>
      </c>
      <c r="N711" s="29"/>
    </row>
    <row r="712" customFormat="false" ht="15" hidden="false" customHeight="false" outlineLevel="0" collapsed="false">
      <c r="A712" s="29"/>
      <c r="B712" s="29"/>
      <c r="C712" s="31"/>
      <c r="D712" s="31"/>
      <c r="E712" s="35" t="str">
        <f aca="false">IF(OR(C712="",D712=""),"",MAX(1,D712-C712))</f>
        <v/>
      </c>
      <c r="F712" s="32"/>
      <c r="G712" s="36" t="str">
        <f aca="false">IF(B712="","",IFERROR(IF(N(INDEX(Fleet!$N$5:$N$79,MATCH(B712,Fleet!$A$5:$A$79,0)))&gt;0,INDEX(Fleet!$N$5:$N$79,MATCH(B712,Fleet!$A$5:$A$79,0)),Assumptions!$B$7),Assumptions!$B$7))</f>
        <v/>
      </c>
      <c r="H712" s="34" t="str">
        <f aca="false">IF(OR(F712="",G712=""),"",F712*G712)</f>
        <v/>
      </c>
      <c r="I712" s="32"/>
      <c r="J712" s="32"/>
      <c r="K712" s="37"/>
      <c r="L712" s="38" t="str">
        <f aca="false">IF(C712="","",DATE(YEAR(C712),MONTH(C712),1))</f>
        <v/>
      </c>
      <c r="M712" s="34" t="str">
        <f aca="false">IF(F712="","",N(H712)+N(I712)-N(J712))</f>
        <v/>
      </c>
      <c r="N712" s="29"/>
    </row>
    <row r="713" customFormat="false" ht="15" hidden="false" customHeight="false" outlineLevel="0" collapsed="false">
      <c r="A713" s="29"/>
      <c r="B713" s="29"/>
      <c r="C713" s="31"/>
      <c r="D713" s="31"/>
      <c r="E713" s="35" t="str">
        <f aca="false">IF(OR(C713="",D713=""),"",MAX(1,D713-C713))</f>
        <v/>
      </c>
      <c r="F713" s="32"/>
      <c r="G713" s="36" t="str">
        <f aca="false">IF(B713="","",IFERROR(IF(N(INDEX(Fleet!$N$5:$N$79,MATCH(B713,Fleet!$A$5:$A$79,0)))&gt;0,INDEX(Fleet!$N$5:$N$79,MATCH(B713,Fleet!$A$5:$A$79,0)),Assumptions!$B$7),Assumptions!$B$7))</f>
        <v/>
      </c>
      <c r="H713" s="34" t="str">
        <f aca="false">IF(OR(F713="",G713=""),"",F713*G713)</f>
        <v/>
      </c>
      <c r="I713" s="32"/>
      <c r="J713" s="32"/>
      <c r="K713" s="37"/>
      <c r="L713" s="38" t="str">
        <f aca="false">IF(C713="","",DATE(YEAR(C713),MONTH(C713),1))</f>
        <v/>
      </c>
      <c r="M713" s="34" t="str">
        <f aca="false">IF(F713="","",N(H713)+N(I713)-N(J713))</f>
        <v/>
      </c>
      <c r="N713" s="29"/>
    </row>
    <row r="714" customFormat="false" ht="15" hidden="false" customHeight="false" outlineLevel="0" collapsed="false">
      <c r="A714" s="29"/>
      <c r="B714" s="29"/>
      <c r="C714" s="31"/>
      <c r="D714" s="31"/>
      <c r="E714" s="35" t="str">
        <f aca="false">IF(OR(C714="",D714=""),"",MAX(1,D714-C714))</f>
        <v/>
      </c>
      <c r="F714" s="32"/>
      <c r="G714" s="36" t="str">
        <f aca="false">IF(B714="","",IFERROR(IF(N(INDEX(Fleet!$N$5:$N$79,MATCH(B714,Fleet!$A$5:$A$79,0)))&gt;0,INDEX(Fleet!$N$5:$N$79,MATCH(B714,Fleet!$A$5:$A$79,0)),Assumptions!$B$7),Assumptions!$B$7))</f>
        <v/>
      </c>
      <c r="H714" s="34" t="str">
        <f aca="false">IF(OR(F714="",G714=""),"",F714*G714)</f>
        <v/>
      </c>
      <c r="I714" s="32"/>
      <c r="J714" s="32"/>
      <c r="K714" s="37"/>
      <c r="L714" s="38" t="str">
        <f aca="false">IF(C714="","",DATE(YEAR(C714),MONTH(C714),1))</f>
        <v/>
      </c>
      <c r="M714" s="34" t="str">
        <f aca="false">IF(F714="","",N(H714)+N(I714)-N(J714))</f>
        <v/>
      </c>
      <c r="N714" s="29"/>
    </row>
    <row r="715" customFormat="false" ht="15" hidden="false" customHeight="false" outlineLevel="0" collapsed="false">
      <c r="A715" s="29"/>
      <c r="B715" s="29"/>
      <c r="C715" s="31"/>
      <c r="D715" s="31"/>
      <c r="E715" s="35" t="str">
        <f aca="false">IF(OR(C715="",D715=""),"",MAX(1,D715-C715))</f>
        <v/>
      </c>
      <c r="F715" s="32"/>
      <c r="G715" s="36" t="str">
        <f aca="false">IF(B715="","",IFERROR(IF(N(INDEX(Fleet!$N$5:$N$79,MATCH(B715,Fleet!$A$5:$A$79,0)))&gt;0,INDEX(Fleet!$N$5:$N$79,MATCH(B715,Fleet!$A$5:$A$79,0)),Assumptions!$B$7),Assumptions!$B$7))</f>
        <v/>
      </c>
      <c r="H715" s="34" t="str">
        <f aca="false">IF(OR(F715="",G715=""),"",F715*G715)</f>
        <v/>
      </c>
      <c r="I715" s="32"/>
      <c r="J715" s="32"/>
      <c r="K715" s="37"/>
      <c r="L715" s="38" t="str">
        <f aca="false">IF(C715="","",DATE(YEAR(C715),MONTH(C715),1))</f>
        <v/>
      </c>
      <c r="M715" s="34" t="str">
        <f aca="false">IF(F715="","",N(H715)+N(I715)-N(J715))</f>
        <v/>
      </c>
      <c r="N715" s="29"/>
    </row>
    <row r="716" customFormat="false" ht="15" hidden="false" customHeight="false" outlineLevel="0" collapsed="false">
      <c r="A716" s="29"/>
      <c r="B716" s="29"/>
      <c r="C716" s="31"/>
      <c r="D716" s="31"/>
      <c r="E716" s="35" t="str">
        <f aca="false">IF(OR(C716="",D716=""),"",MAX(1,D716-C716))</f>
        <v/>
      </c>
      <c r="F716" s="32"/>
      <c r="G716" s="36" t="str">
        <f aca="false">IF(B716="","",IFERROR(IF(N(INDEX(Fleet!$N$5:$N$79,MATCH(B716,Fleet!$A$5:$A$79,0)))&gt;0,INDEX(Fleet!$N$5:$N$79,MATCH(B716,Fleet!$A$5:$A$79,0)),Assumptions!$B$7),Assumptions!$B$7))</f>
        <v/>
      </c>
      <c r="H716" s="34" t="str">
        <f aca="false">IF(OR(F716="",G716=""),"",F716*G716)</f>
        <v/>
      </c>
      <c r="I716" s="32"/>
      <c r="J716" s="32"/>
      <c r="K716" s="37"/>
      <c r="L716" s="38" t="str">
        <f aca="false">IF(C716="","",DATE(YEAR(C716),MONTH(C716),1))</f>
        <v/>
      </c>
      <c r="M716" s="34" t="str">
        <f aca="false">IF(F716="","",N(H716)+N(I716)-N(J716))</f>
        <v/>
      </c>
      <c r="N716" s="29"/>
    </row>
    <row r="717" customFormat="false" ht="15" hidden="false" customHeight="false" outlineLevel="0" collapsed="false">
      <c r="A717" s="29"/>
      <c r="B717" s="29"/>
      <c r="C717" s="31"/>
      <c r="D717" s="31"/>
      <c r="E717" s="35" t="str">
        <f aca="false">IF(OR(C717="",D717=""),"",MAX(1,D717-C717))</f>
        <v/>
      </c>
      <c r="F717" s="32"/>
      <c r="G717" s="36" t="str">
        <f aca="false">IF(B717="","",IFERROR(IF(N(INDEX(Fleet!$N$5:$N$79,MATCH(B717,Fleet!$A$5:$A$79,0)))&gt;0,INDEX(Fleet!$N$5:$N$79,MATCH(B717,Fleet!$A$5:$A$79,0)),Assumptions!$B$7),Assumptions!$B$7))</f>
        <v/>
      </c>
      <c r="H717" s="34" t="str">
        <f aca="false">IF(OR(F717="",G717=""),"",F717*G717)</f>
        <v/>
      </c>
      <c r="I717" s="32"/>
      <c r="J717" s="32"/>
      <c r="K717" s="37"/>
      <c r="L717" s="38" t="str">
        <f aca="false">IF(C717="","",DATE(YEAR(C717),MONTH(C717),1))</f>
        <v/>
      </c>
      <c r="M717" s="34" t="str">
        <f aca="false">IF(F717="","",N(H717)+N(I717)-N(J717))</f>
        <v/>
      </c>
      <c r="N717" s="29"/>
    </row>
    <row r="718" customFormat="false" ht="15" hidden="false" customHeight="false" outlineLevel="0" collapsed="false">
      <c r="A718" s="29"/>
      <c r="B718" s="29"/>
      <c r="C718" s="31"/>
      <c r="D718" s="31"/>
      <c r="E718" s="35" t="str">
        <f aca="false">IF(OR(C718="",D718=""),"",MAX(1,D718-C718))</f>
        <v/>
      </c>
      <c r="F718" s="32"/>
      <c r="G718" s="36" t="str">
        <f aca="false">IF(B718="","",IFERROR(IF(N(INDEX(Fleet!$N$5:$N$79,MATCH(B718,Fleet!$A$5:$A$79,0)))&gt;0,INDEX(Fleet!$N$5:$N$79,MATCH(B718,Fleet!$A$5:$A$79,0)),Assumptions!$B$7),Assumptions!$B$7))</f>
        <v/>
      </c>
      <c r="H718" s="34" t="str">
        <f aca="false">IF(OR(F718="",G718=""),"",F718*G718)</f>
        <v/>
      </c>
      <c r="I718" s="32"/>
      <c r="J718" s="32"/>
      <c r="K718" s="37"/>
      <c r="L718" s="38" t="str">
        <f aca="false">IF(C718="","",DATE(YEAR(C718),MONTH(C718),1))</f>
        <v/>
      </c>
      <c r="M718" s="34" t="str">
        <f aca="false">IF(F718="","",N(H718)+N(I718)-N(J718))</f>
        <v/>
      </c>
      <c r="N718" s="29"/>
    </row>
    <row r="719" customFormat="false" ht="15" hidden="false" customHeight="false" outlineLevel="0" collapsed="false">
      <c r="A719" s="29"/>
      <c r="B719" s="29"/>
      <c r="C719" s="31"/>
      <c r="D719" s="31"/>
      <c r="E719" s="35" t="str">
        <f aca="false">IF(OR(C719="",D719=""),"",MAX(1,D719-C719))</f>
        <v/>
      </c>
      <c r="F719" s="32"/>
      <c r="G719" s="36" t="str">
        <f aca="false">IF(B719="","",IFERROR(IF(N(INDEX(Fleet!$N$5:$N$79,MATCH(B719,Fleet!$A$5:$A$79,0)))&gt;0,INDEX(Fleet!$N$5:$N$79,MATCH(B719,Fleet!$A$5:$A$79,0)),Assumptions!$B$7),Assumptions!$B$7))</f>
        <v/>
      </c>
      <c r="H719" s="34" t="str">
        <f aca="false">IF(OR(F719="",G719=""),"",F719*G719)</f>
        <v/>
      </c>
      <c r="I719" s="32"/>
      <c r="J719" s="32"/>
      <c r="K719" s="37"/>
      <c r="L719" s="38" t="str">
        <f aca="false">IF(C719="","",DATE(YEAR(C719),MONTH(C719),1))</f>
        <v/>
      </c>
      <c r="M719" s="34" t="str">
        <f aca="false">IF(F719="","",N(H719)+N(I719)-N(J719))</f>
        <v/>
      </c>
      <c r="N719" s="29"/>
    </row>
    <row r="720" customFormat="false" ht="15" hidden="false" customHeight="false" outlineLevel="0" collapsed="false">
      <c r="A720" s="29"/>
      <c r="B720" s="29"/>
      <c r="C720" s="31"/>
      <c r="D720" s="31"/>
      <c r="E720" s="35" t="str">
        <f aca="false">IF(OR(C720="",D720=""),"",MAX(1,D720-C720))</f>
        <v/>
      </c>
      <c r="F720" s="32"/>
      <c r="G720" s="36" t="str">
        <f aca="false">IF(B720="","",IFERROR(IF(N(INDEX(Fleet!$N$5:$N$79,MATCH(B720,Fleet!$A$5:$A$79,0)))&gt;0,INDEX(Fleet!$N$5:$N$79,MATCH(B720,Fleet!$A$5:$A$79,0)),Assumptions!$B$7),Assumptions!$B$7))</f>
        <v/>
      </c>
      <c r="H720" s="34" t="str">
        <f aca="false">IF(OR(F720="",G720=""),"",F720*G720)</f>
        <v/>
      </c>
      <c r="I720" s="32"/>
      <c r="J720" s="32"/>
      <c r="K720" s="37"/>
      <c r="L720" s="38" t="str">
        <f aca="false">IF(C720="","",DATE(YEAR(C720),MONTH(C720),1))</f>
        <v/>
      </c>
      <c r="M720" s="34" t="str">
        <f aca="false">IF(F720="","",N(H720)+N(I720)-N(J720))</f>
        <v/>
      </c>
      <c r="N720" s="29"/>
    </row>
    <row r="721" customFormat="false" ht="15" hidden="false" customHeight="false" outlineLevel="0" collapsed="false">
      <c r="A721" s="29"/>
      <c r="B721" s="29"/>
      <c r="C721" s="31"/>
      <c r="D721" s="31"/>
      <c r="E721" s="35" t="str">
        <f aca="false">IF(OR(C721="",D721=""),"",MAX(1,D721-C721))</f>
        <v/>
      </c>
      <c r="F721" s="32"/>
      <c r="G721" s="36" t="str">
        <f aca="false">IF(B721="","",IFERROR(IF(N(INDEX(Fleet!$N$5:$N$79,MATCH(B721,Fleet!$A$5:$A$79,0)))&gt;0,INDEX(Fleet!$N$5:$N$79,MATCH(B721,Fleet!$A$5:$A$79,0)),Assumptions!$B$7),Assumptions!$B$7))</f>
        <v/>
      </c>
      <c r="H721" s="34" t="str">
        <f aca="false">IF(OR(F721="",G721=""),"",F721*G721)</f>
        <v/>
      </c>
      <c r="I721" s="32"/>
      <c r="J721" s="32"/>
      <c r="K721" s="37"/>
      <c r="L721" s="38" t="str">
        <f aca="false">IF(C721="","",DATE(YEAR(C721),MONTH(C721),1))</f>
        <v/>
      </c>
      <c r="M721" s="34" t="str">
        <f aca="false">IF(F721="","",N(H721)+N(I721)-N(J721))</f>
        <v/>
      </c>
      <c r="N721" s="29"/>
    </row>
    <row r="722" customFormat="false" ht="15" hidden="false" customHeight="false" outlineLevel="0" collapsed="false">
      <c r="A722" s="29"/>
      <c r="B722" s="29"/>
      <c r="C722" s="31"/>
      <c r="D722" s="31"/>
      <c r="E722" s="35" t="str">
        <f aca="false">IF(OR(C722="",D722=""),"",MAX(1,D722-C722))</f>
        <v/>
      </c>
      <c r="F722" s="32"/>
      <c r="G722" s="36" t="str">
        <f aca="false">IF(B722="","",IFERROR(IF(N(INDEX(Fleet!$N$5:$N$79,MATCH(B722,Fleet!$A$5:$A$79,0)))&gt;0,INDEX(Fleet!$N$5:$N$79,MATCH(B722,Fleet!$A$5:$A$79,0)),Assumptions!$B$7),Assumptions!$B$7))</f>
        <v/>
      </c>
      <c r="H722" s="34" t="str">
        <f aca="false">IF(OR(F722="",G722=""),"",F722*G722)</f>
        <v/>
      </c>
      <c r="I722" s="32"/>
      <c r="J722" s="32"/>
      <c r="K722" s="37"/>
      <c r="L722" s="38" t="str">
        <f aca="false">IF(C722="","",DATE(YEAR(C722),MONTH(C722),1))</f>
        <v/>
      </c>
      <c r="M722" s="34" t="str">
        <f aca="false">IF(F722="","",N(H722)+N(I722)-N(J722))</f>
        <v/>
      </c>
      <c r="N722" s="29"/>
    </row>
    <row r="723" customFormat="false" ht="15" hidden="false" customHeight="false" outlineLevel="0" collapsed="false">
      <c r="A723" s="29"/>
      <c r="B723" s="29"/>
      <c r="C723" s="31"/>
      <c r="D723" s="31"/>
      <c r="E723" s="35" t="str">
        <f aca="false">IF(OR(C723="",D723=""),"",MAX(1,D723-C723))</f>
        <v/>
      </c>
      <c r="F723" s="32"/>
      <c r="G723" s="36" t="str">
        <f aca="false">IF(B723="","",IFERROR(IF(N(INDEX(Fleet!$N$5:$N$79,MATCH(B723,Fleet!$A$5:$A$79,0)))&gt;0,INDEX(Fleet!$N$5:$N$79,MATCH(B723,Fleet!$A$5:$A$79,0)),Assumptions!$B$7),Assumptions!$B$7))</f>
        <v/>
      </c>
      <c r="H723" s="34" t="str">
        <f aca="false">IF(OR(F723="",G723=""),"",F723*G723)</f>
        <v/>
      </c>
      <c r="I723" s="32"/>
      <c r="J723" s="32"/>
      <c r="K723" s="37"/>
      <c r="L723" s="38" t="str">
        <f aca="false">IF(C723="","",DATE(YEAR(C723),MONTH(C723),1))</f>
        <v/>
      </c>
      <c r="M723" s="34" t="str">
        <f aca="false">IF(F723="","",N(H723)+N(I723)-N(J723))</f>
        <v/>
      </c>
      <c r="N723" s="29"/>
    </row>
    <row r="724" customFormat="false" ht="15" hidden="false" customHeight="false" outlineLevel="0" collapsed="false">
      <c r="A724" s="29"/>
      <c r="B724" s="29"/>
      <c r="C724" s="31"/>
      <c r="D724" s="31"/>
      <c r="E724" s="35" t="str">
        <f aca="false">IF(OR(C724="",D724=""),"",MAX(1,D724-C724))</f>
        <v/>
      </c>
      <c r="F724" s="32"/>
      <c r="G724" s="36" t="str">
        <f aca="false">IF(B724="","",IFERROR(IF(N(INDEX(Fleet!$N$5:$N$79,MATCH(B724,Fleet!$A$5:$A$79,0)))&gt;0,INDEX(Fleet!$N$5:$N$79,MATCH(B724,Fleet!$A$5:$A$79,0)),Assumptions!$B$7),Assumptions!$B$7))</f>
        <v/>
      </c>
      <c r="H724" s="34" t="str">
        <f aca="false">IF(OR(F724="",G724=""),"",F724*G724)</f>
        <v/>
      </c>
      <c r="I724" s="32"/>
      <c r="J724" s="32"/>
      <c r="K724" s="37"/>
      <c r="L724" s="38" t="str">
        <f aca="false">IF(C724="","",DATE(YEAR(C724),MONTH(C724),1))</f>
        <v/>
      </c>
      <c r="M724" s="34" t="str">
        <f aca="false">IF(F724="","",N(H724)+N(I724)-N(J724))</f>
        <v/>
      </c>
      <c r="N724" s="29"/>
    </row>
    <row r="725" customFormat="false" ht="15" hidden="false" customHeight="false" outlineLevel="0" collapsed="false">
      <c r="A725" s="29"/>
      <c r="B725" s="29"/>
      <c r="C725" s="31"/>
      <c r="D725" s="31"/>
      <c r="E725" s="35" t="str">
        <f aca="false">IF(OR(C725="",D725=""),"",MAX(1,D725-C725))</f>
        <v/>
      </c>
      <c r="F725" s="32"/>
      <c r="G725" s="36" t="str">
        <f aca="false">IF(B725="","",IFERROR(IF(N(INDEX(Fleet!$N$5:$N$79,MATCH(B725,Fleet!$A$5:$A$79,0)))&gt;0,INDEX(Fleet!$N$5:$N$79,MATCH(B725,Fleet!$A$5:$A$79,0)),Assumptions!$B$7),Assumptions!$B$7))</f>
        <v/>
      </c>
      <c r="H725" s="34" t="str">
        <f aca="false">IF(OR(F725="",G725=""),"",F725*G725)</f>
        <v/>
      </c>
      <c r="I725" s="32"/>
      <c r="J725" s="32"/>
      <c r="K725" s="37"/>
      <c r="L725" s="38" t="str">
        <f aca="false">IF(C725="","",DATE(YEAR(C725),MONTH(C725),1))</f>
        <v/>
      </c>
      <c r="M725" s="34" t="str">
        <f aca="false">IF(F725="","",N(H725)+N(I725)-N(J725))</f>
        <v/>
      </c>
      <c r="N725" s="29"/>
    </row>
    <row r="726" customFormat="false" ht="15" hidden="false" customHeight="false" outlineLevel="0" collapsed="false">
      <c r="A726" s="29"/>
      <c r="B726" s="29"/>
      <c r="C726" s="31"/>
      <c r="D726" s="31"/>
      <c r="E726" s="35" t="str">
        <f aca="false">IF(OR(C726="",D726=""),"",MAX(1,D726-C726))</f>
        <v/>
      </c>
      <c r="F726" s="32"/>
      <c r="G726" s="36" t="str">
        <f aca="false">IF(B726="","",IFERROR(IF(N(INDEX(Fleet!$N$5:$N$79,MATCH(B726,Fleet!$A$5:$A$79,0)))&gt;0,INDEX(Fleet!$N$5:$N$79,MATCH(B726,Fleet!$A$5:$A$79,0)),Assumptions!$B$7),Assumptions!$B$7))</f>
        <v/>
      </c>
      <c r="H726" s="34" t="str">
        <f aca="false">IF(OR(F726="",G726=""),"",F726*G726)</f>
        <v/>
      </c>
      <c r="I726" s="32"/>
      <c r="J726" s="32"/>
      <c r="K726" s="37"/>
      <c r="L726" s="38" t="str">
        <f aca="false">IF(C726="","",DATE(YEAR(C726),MONTH(C726),1))</f>
        <v/>
      </c>
      <c r="M726" s="34" t="str">
        <f aca="false">IF(F726="","",N(H726)+N(I726)-N(J726))</f>
        <v/>
      </c>
      <c r="N726" s="29"/>
    </row>
    <row r="727" customFormat="false" ht="15" hidden="false" customHeight="false" outlineLevel="0" collapsed="false">
      <c r="A727" s="29"/>
      <c r="B727" s="29"/>
      <c r="C727" s="31"/>
      <c r="D727" s="31"/>
      <c r="E727" s="35" t="str">
        <f aca="false">IF(OR(C727="",D727=""),"",MAX(1,D727-C727))</f>
        <v/>
      </c>
      <c r="F727" s="32"/>
      <c r="G727" s="36" t="str">
        <f aca="false">IF(B727="","",IFERROR(IF(N(INDEX(Fleet!$N$5:$N$79,MATCH(B727,Fleet!$A$5:$A$79,0)))&gt;0,INDEX(Fleet!$N$5:$N$79,MATCH(B727,Fleet!$A$5:$A$79,0)),Assumptions!$B$7),Assumptions!$B$7))</f>
        <v/>
      </c>
      <c r="H727" s="34" t="str">
        <f aca="false">IF(OR(F727="",G727=""),"",F727*G727)</f>
        <v/>
      </c>
      <c r="I727" s="32"/>
      <c r="J727" s="32"/>
      <c r="K727" s="37"/>
      <c r="L727" s="38" t="str">
        <f aca="false">IF(C727="","",DATE(YEAR(C727),MONTH(C727),1))</f>
        <v/>
      </c>
      <c r="M727" s="34" t="str">
        <f aca="false">IF(F727="","",N(H727)+N(I727)-N(J727))</f>
        <v/>
      </c>
      <c r="N727" s="29"/>
    </row>
    <row r="728" customFormat="false" ht="15" hidden="false" customHeight="false" outlineLevel="0" collapsed="false">
      <c r="A728" s="29"/>
      <c r="B728" s="29"/>
      <c r="C728" s="31"/>
      <c r="D728" s="31"/>
      <c r="E728" s="35" t="str">
        <f aca="false">IF(OR(C728="",D728=""),"",MAX(1,D728-C728))</f>
        <v/>
      </c>
      <c r="F728" s="32"/>
      <c r="G728" s="36" t="str">
        <f aca="false">IF(B728="","",IFERROR(IF(N(INDEX(Fleet!$N$5:$N$79,MATCH(B728,Fleet!$A$5:$A$79,0)))&gt;0,INDEX(Fleet!$N$5:$N$79,MATCH(B728,Fleet!$A$5:$A$79,0)),Assumptions!$B$7),Assumptions!$B$7))</f>
        <v/>
      </c>
      <c r="H728" s="34" t="str">
        <f aca="false">IF(OR(F728="",G728=""),"",F728*G728)</f>
        <v/>
      </c>
      <c r="I728" s="32"/>
      <c r="J728" s="32"/>
      <c r="K728" s="37"/>
      <c r="L728" s="38" t="str">
        <f aca="false">IF(C728="","",DATE(YEAR(C728),MONTH(C728),1))</f>
        <v/>
      </c>
      <c r="M728" s="34" t="str">
        <f aca="false">IF(F728="","",N(H728)+N(I728)-N(J728))</f>
        <v/>
      </c>
      <c r="N728" s="29"/>
    </row>
    <row r="729" customFormat="false" ht="15" hidden="false" customHeight="false" outlineLevel="0" collapsed="false">
      <c r="A729" s="29"/>
      <c r="B729" s="29"/>
      <c r="C729" s="31"/>
      <c r="D729" s="31"/>
      <c r="E729" s="35" t="str">
        <f aca="false">IF(OR(C729="",D729=""),"",MAX(1,D729-C729))</f>
        <v/>
      </c>
      <c r="F729" s="32"/>
      <c r="G729" s="36" t="str">
        <f aca="false">IF(B729="","",IFERROR(IF(N(INDEX(Fleet!$N$5:$N$79,MATCH(B729,Fleet!$A$5:$A$79,0)))&gt;0,INDEX(Fleet!$N$5:$N$79,MATCH(B729,Fleet!$A$5:$A$79,0)),Assumptions!$B$7),Assumptions!$B$7))</f>
        <v/>
      </c>
      <c r="H729" s="34" t="str">
        <f aca="false">IF(OR(F729="",G729=""),"",F729*G729)</f>
        <v/>
      </c>
      <c r="I729" s="32"/>
      <c r="J729" s="32"/>
      <c r="K729" s="37"/>
      <c r="L729" s="38" t="str">
        <f aca="false">IF(C729="","",DATE(YEAR(C729),MONTH(C729),1))</f>
        <v/>
      </c>
      <c r="M729" s="34" t="str">
        <f aca="false">IF(F729="","",N(H729)+N(I729)-N(J729))</f>
        <v/>
      </c>
      <c r="N729" s="29"/>
    </row>
    <row r="730" customFormat="false" ht="15" hidden="false" customHeight="false" outlineLevel="0" collapsed="false">
      <c r="A730" s="29"/>
      <c r="B730" s="29"/>
      <c r="C730" s="31"/>
      <c r="D730" s="31"/>
      <c r="E730" s="35" t="str">
        <f aca="false">IF(OR(C730="",D730=""),"",MAX(1,D730-C730))</f>
        <v/>
      </c>
      <c r="F730" s="32"/>
      <c r="G730" s="36" t="str">
        <f aca="false">IF(B730="","",IFERROR(IF(N(INDEX(Fleet!$N$5:$N$79,MATCH(B730,Fleet!$A$5:$A$79,0)))&gt;0,INDEX(Fleet!$N$5:$N$79,MATCH(B730,Fleet!$A$5:$A$79,0)),Assumptions!$B$7),Assumptions!$B$7))</f>
        <v/>
      </c>
      <c r="H730" s="34" t="str">
        <f aca="false">IF(OR(F730="",G730=""),"",F730*G730)</f>
        <v/>
      </c>
      <c r="I730" s="32"/>
      <c r="J730" s="32"/>
      <c r="K730" s="37"/>
      <c r="L730" s="38" t="str">
        <f aca="false">IF(C730="","",DATE(YEAR(C730),MONTH(C730),1))</f>
        <v/>
      </c>
      <c r="M730" s="34" t="str">
        <f aca="false">IF(F730="","",N(H730)+N(I730)-N(J730))</f>
        <v/>
      </c>
      <c r="N730" s="29"/>
    </row>
    <row r="731" customFormat="false" ht="15" hidden="false" customHeight="false" outlineLevel="0" collapsed="false">
      <c r="A731" s="29"/>
      <c r="B731" s="29"/>
      <c r="C731" s="31"/>
      <c r="D731" s="31"/>
      <c r="E731" s="35" t="str">
        <f aca="false">IF(OR(C731="",D731=""),"",MAX(1,D731-C731))</f>
        <v/>
      </c>
      <c r="F731" s="32"/>
      <c r="G731" s="36" t="str">
        <f aca="false">IF(B731="","",IFERROR(IF(N(INDEX(Fleet!$N$5:$N$79,MATCH(B731,Fleet!$A$5:$A$79,0)))&gt;0,INDEX(Fleet!$N$5:$N$79,MATCH(B731,Fleet!$A$5:$A$79,0)),Assumptions!$B$7),Assumptions!$B$7))</f>
        <v/>
      </c>
      <c r="H731" s="34" t="str">
        <f aca="false">IF(OR(F731="",G731=""),"",F731*G731)</f>
        <v/>
      </c>
      <c r="I731" s="32"/>
      <c r="J731" s="32"/>
      <c r="K731" s="37"/>
      <c r="L731" s="38" t="str">
        <f aca="false">IF(C731="","",DATE(YEAR(C731),MONTH(C731),1))</f>
        <v/>
      </c>
      <c r="M731" s="34" t="str">
        <f aca="false">IF(F731="","",N(H731)+N(I731)-N(J731))</f>
        <v/>
      </c>
      <c r="N731" s="29"/>
    </row>
    <row r="732" customFormat="false" ht="15" hidden="false" customHeight="false" outlineLevel="0" collapsed="false">
      <c r="A732" s="29"/>
      <c r="B732" s="29"/>
      <c r="C732" s="31"/>
      <c r="D732" s="31"/>
      <c r="E732" s="35" t="str">
        <f aca="false">IF(OR(C732="",D732=""),"",MAX(1,D732-C732))</f>
        <v/>
      </c>
      <c r="F732" s="32"/>
      <c r="G732" s="36" t="str">
        <f aca="false">IF(B732="","",IFERROR(IF(N(INDEX(Fleet!$N$5:$N$79,MATCH(B732,Fleet!$A$5:$A$79,0)))&gt;0,INDEX(Fleet!$N$5:$N$79,MATCH(B732,Fleet!$A$5:$A$79,0)),Assumptions!$B$7),Assumptions!$B$7))</f>
        <v/>
      </c>
      <c r="H732" s="34" t="str">
        <f aca="false">IF(OR(F732="",G732=""),"",F732*G732)</f>
        <v/>
      </c>
      <c r="I732" s="32"/>
      <c r="J732" s="32"/>
      <c r="K732" s="37"/>
      <c r="L732" s="38" t="str">
        <f aca="false">IF(C732="","",DATE(YEAR(C732),MONTH(C732),1))</f>
        <v/>
      </c>
      <c r="M732" s="34" t="str">
        <f aca="false">IF(F732="","",N(H732)+N(I732)-N(J732))</f>
        <v/>
      </c>
      <c r="N732" s="29"/>
    </row>
    <row r="733" customFormat="false" ht="15" hidden="false" customHeight="false" outlineLevel="0" collapsed="false">
      <c r="A733" s="29"/>
      <c r="B733" s="29"/>
      <c r="C733" s="31"/>
      <c r="D733" s="31"/>
      <c r="E733" s="35" t="str">
        <f aca="false">IF(OR(C733="",D733=""),"",MAX(1,D733-C733))</f>
        <v/>
      </c>
      <c r="F733" s="32"/>
      <c r="G733" s="36" t="str">
        <f aca="false">IF(B733="","",IFERROR(IF(N(INDEX(Fleet!$N$5:$N$79,MATCH(B733,Fleet!$A$5:$A$79,0)))&gt;0,INDEX(Fleet!$N$5:$N$79,MATCH(B733,Fleet!$A$5:$A$79,0)),Assumptions!$B$7),Assumptions!$B$7))</f>
        <v/>
      </c>
      <c r="H733" s="34" t="str">
        <f aca="false">IF(OR(F733="",G733=""),"",F733*G733)</f>
        <v/>
      </c>
      <c r="I733" s="32"/>
      <c r="J733" s="32"/>
      <c r="K733" s="37"/>
      <c r="L733" s="38" t="str">
        <f aca="false">IF(C733="","",DATE(YEAR(C733),MONTH(C733),1))</f>
        <v/>
      </c>
      <c r="M733" s="34" t="str">
        <f aca="false">IF(F733="","",N(H733)+N(I733)-N(J733))</f>
        <v/>
      </c>
      <c r="N733" s="29"/>
    </row>
    <row r="734" customFormat="false" ht="15" hidden="false" customHeight="false" outlineLevel="0" collapsed="false">
      <c r="A734" s="29"/>
      <c r="B734" s="29"/>
      <c r="C734" s="31"/>
      <c r="D734" s="31"/>
      <c r="E734" s="35" t="str">
        <f aca="false">IF(OR(C734="",D734=""),"",MAX(1,D734-C734))</f>
        <v/>
      </c>
      <c r="F734" s="32"/>
      <c r="G734" s="36" t="str">
        <f aca="false">IF(B734="","",IFERROR(IF(N(INDEX(Fleet!$N$5:$N$79,MATCH(B734,Fleet!$A$5:$A$79,0)))&gt;0,INDEX(Fleet!$N$5:$N$79,MATCH(B734,Fleet!$A$5:$A$79,0)),Assumptions!$B$7),Assumptions!$B$7))</f>
        <v/>
      </c>
      <c r="H734" s="34" t="str">
        <f aca="false">IF(OR(F734="",G734=""),"",F734*G734)</f>
        <v/>
      </c>
      <c r="I734" s="32"/>
      <c r="J734" s="32"/>
      <c r="K734" s="37"/>
      <c r="L734" s="38" t="str">
        <f aca="false">IF(C734="","",DATE(YEAR(C734),MONTH(C734),1))</f>
        <v/>
      </c>
      <c r="M734" s="34" t="str">
        <f aca="false">IF(F734="","",N(H734)+N(I734)-N(J734))</f>
        <v/>
      </c>
      <c r="N734" s="29"/>
    </row>
    <row r="735" customFormat="false" ht="15" hidden="false" customHeight="false" outlineLevel="0" collapsed="false">
      <c r="A735" s="29"/>
      <c r="B735" s="29"/>
      <c r="C735" s="31"/>
      <c r="D735" s="31"/>
      <c r="E735" s="35" t="str">
        <f aca="false">IF(OR(C735="",D735=""),"",MAX(1,D735-C735))</f>
        <v/>
      </c>
      <c r="F735" s="32"/>
      <c r="G735" s="36" t="str">
        <f aca="false">IF(B735="","",IFERROR(IF(N(INDEX(Fleet!$N$5:$N$79,MATCH(B735,Fleet!$A$5:$A$79,0)))&gt;0,INDEX(Fleet!$N$5:$N$79,MATCH(B735,Fleet!$A$5:$A$79,0)),Assumptions!$B$7),Assumptions!$B$7))</f>
        <v/>
      </c>
      <c r="H735" s="34" t="str">
        <f aca="false">IF(OR(F735="",G735=""),"",F735*G735)</f>
        <v/>
      </c>
      <c r="I735" s="32"/>
      <c r="J735" s="32"/>
      <c r="K735" s="37"/>
      <c r="L735" s="38" t="str">
        <f aca="false">IF(C735="","",DATE(YEAR(C735),MONTH(C735),1))</f>
        <v/>
      </c>
      <c r="M735" s="34" t="str">
        <f aca="false">IF(F735="","",N(H735)+N(I735)-N(J735))</f>
        <v/>
      </c>
      <c r="N735" s="29"/>
    </row>
    <row r="736" customFormat="false" ht="15" hidden="false" customHeight="false" outlineLevel="0" collapsed="false">
      <c r="A736" s="29"/>
      <c r="B736" s="29"/>
      <c r="C736" s="31"/>
      <c r="D736" s="31"/>
      <c r="E736" s="35" t="str">
        <f aca="false">IF(OR(C736="",D736=""),"",MAX(1,D736-C736))</f>
        <v/>
      </c>
      <c r="F736" s="32"/>
      <c r="G736" s="36" t="str">
        <f aca="false">IF(B736="","",IFERROR(IF(N(INDEX(Fleet!$N$5:$N$79,MATCH(B736,Fleet!$A$5:$A$79,0)))&gt;0,INDEX(Fleet!$N$5:$N$79,MATCH(B736,Fleet!$A$5:$A$79,0)),Assumptions!$B$7),Assumptions!$B$7))</f>
        <v/>
      </c>
      <c r="H736" s="34" t="str">
        <f aca="false">IF(OR(F736="",G736=""),"",F736*G736)</f>
        <v/>
      </c>
      <c r="I736" s="32"/>
      <c r="J736" s="32"/>
      <c r="K736" s="37"/>
      <c r="L736" s="38" t="str">
        <f aca="false">IF(C736="","",DATE(YEAR(C736),MONTH(C736),1))</f>
        <v/>
      </c>
      <c r="M736" s="34" t="str">
        <f aca="false">IF(F736="","",N(H736)+N(I736)-N(J736))</f>
        <v/>
      </c>
      <c r="N736" s="29"/>
    </row>
    <row r="737" customFormat="false" ht="15" hidden="false" customHeight="false" outlineLevel="0" collapsed="false">
      <c r="A737" s="29"/>
      <c r="B737" s="29"/>
      <c r="C737" s="31"/>
      <c r="D737" s="31"/>
      <c r="E737" s="35" t="str">
        <f aca="false">IF(OR(C737="",D737=""),"",MAX(1,D737-C737))</f>
        <v/>
      </c>
      <c r="F737" s="32"/>
      <c r="G737" s="36" t="str">
        <f aca="false">IF(B737="","",IFERROR(IF(N(INDEX(Fleet!$N$5:$N$79,MATCH(B737,Fleet!$A$5:$A$79,0)))&gt;0,INDEX(Fleet!$N$5:$N$79,MATCH(B737,Fleet!$A$5:$A$79,0)),Assumptions!$B$7),Assumptions!$B$7))</f>
        <v/>
      </c>
      <c r="H737" s="34" t="str">
        <f aca="false">IF(OR(F737="",G737=""),"",F737*G737)</f>
        <v/>
      </c>
      <c r="I737" s="32"/>
      <c r="J737" s="32"/>
      <c r="K737" s="37"/>
      <c r="L737" s="38" t="str">
        <f aca="false">IF(C737="","",DATE(YEAR(C737),MONTH(C737),1))</f>
        <v/>
      </c>
      <c r="M737" s="34" t="str">
        <f aca="false">IF(F737="","",N(H737)+N(I737)-N(J737))</f>
        <v/>
      </c>
      <c r="N737" s="29"/>
    </row>
    <row r="738" customFormat="false" ht="15" hidden="false" customHeight="false" outlineLevel="0" collapsed="false">
      <c r="A738" s="29"/>
      <c r="B738" s="29"/>
      <c r="C738" s="31"/>
      <c r="D738" s="31"/>
      <c r="E738" s="35" t="str">
        <f aca="false">IF(OR(C738="",D738=""),"",MAX(1,D738-C738))</f>
        <v/>
      </c>
      <c r="F738" s="32"/>
      <c r="G738" s="36" t="str">
        <f aca="false">IF(B738="","",IFERROR(IF(N(INDEX(Fleet!$N$5:$N$79,MATCH(B738,Fleet!$A$5:$A$79,0)))&gt;0,INDEX(Fleet!$N$5:$N$79,MATCH(B738,Fleet!$A$5:$A$79,0)),Assumptions!$B$7),Assumptions!$B$7))</f>
        <v/>
      </c>
      <c r="H738" s="34" t="str">
        <f aca="false">IF(OR(F738="",G738=""),"",F738*G738)</f>
        <v/>
      </c>
      <c r="I738" s="32"/>
      <c r="J738" s="32"/>
      <c r="K738" s="37"/>
      <c r="L738" s="38" t="str">
        <f aca="false">IF(C738="","",DATE(YEAR(C738),MONTH(C738),1))</f>
        <v/>
      </c>
      <c r="M738" s="34" t="str">
        <f aca="false">IF(F738="","",N(H738)+N(I738)-N(J738))</f>
        <v/>
      </c>
      <c r="N738" s="29"/>
    </row>
    <row r="739" customFormat="false" ht="15" hidden="false" customHeight="false" outlineLevel="0" collapsed="false">
      <c r="A739" s="29"/>
      <c r="B739" s="29"/>
      <c r="C739" s="31"/>
      <c r="D739" s="31"/>
      <c r="E739" s="35" t="str">
        <f aca="false">IF(OR(C739="",D739=""),"",MAX(1,D739-C739))</f>
        <v/>
      </c>
      <c r="F739" s="32"/>
      <c r="G739" s="36" t="str">
        <f aca="false">IF(B739="","",IFERROR(IF(N(INDEX(Fleet!$N$5:$N$79,MATCH(B739,Fleet!$A$5:$A$79,0)))&gt;0,INDEX(Fleet!$N$5:$N$79,MATCH(B739,Fleet!$A$5:$A$79,0)),Assumptions!$B$7),Assumptions!$B$7))</f>
        <v/>
      </c>
      <c r="H739" s="34" t="str">
        <f aca="false">IF(OR(F739="",G739=""),"",F739*G739)</f>
        <v/>
      </c>
      <c r="I739" s="32"/>
      <c r="J739" s="32"/>
      <c r="K739" s="37"/>
      <c r="L739" s="38" t="str">
        <f aca="false">IF(C739="","",DATE(YEAR(C739),MONTH(C739),1))</f>
        <v/>
      </c>
      <c r="M739" s="34" t="str">
        <f aca="false">IF(F739="","",N(H739)+N(I739)-N(J739))</f>
        <v/>
      </c>
      <c r="N739" s="29"/>
    </row>
    <row r="740" customFormat="false" ht="15" hidden="false" customHeight="false" outlineLevel="0" collapsed="false">
      <c r="A740" s="29"/>
      <c r="B740" s="29"/>
      <c r="C740" s="31"/>
      <c r="D740" s="31"/>
      <c r="E740" s="35" t="str">
        <f aca="false">IF(OR(C740="",D740=""),"",MAX(1,D740-C740))</f>
        <v/>
      </c>
      <c r="F740" s="32"/>
      <c r="G740" s="36" t="str">
        <f aca="false">IF(B740="","",IFERROR(IF(N(INDEX(Fleet!$N$5:$N$79,MATCH(B740,Fleet!$A$5:$A$79,0)))&gt;0,INDEX(Fleet!$N$5:$N$79,MATCH(B740,Fleet!$A$5:$A$79,0)),Assumptions!$B$7),Assumptions!$B$7))</f>
        <v/>
      </c>
      <c r="H740" s="34" t="str">
        <f aca="false">IF(OR(F740="",G740=""),"",F740*G740)</f>
        <v/>
      </c>
      <c r="I740" s="32"/>
      <c r="J740" s="32"/>
      <c r="K740" s="37"/>
      <c r="L740" s="38" t="str">
        <f aca="false">IF(C740="","",DATE(YEAR(C740),MONTH(C740),1))</f>
        <v/>
      </c>
      <c r="M740" s="34" t="str">
        <f aca="false">IF(F740="","",N(H740)+N(I740)-N(J740))</f>
        <v/>
      </c>
      <c r="N740" s="29"/>
    </row>
    <row r="741" customFormat="false" ht="15" hidden="false" customHeight="false" outlineLevel="0" collapsed="false">
      <c r="A741" s="29"/>
      <c r="B741" s="29"/>
      <c r="C741" s="31"/>
      <c r="D741" s="31"/>
      <c r="E741" s="35" t="str">
        <f aca="false">IF(OR(C741="",D741=""),"",MAX(1,D741-C741))</f>
        <v/>
      </c>
      <c r="F741" s="32"/>
      <c r="G741" s="36" t="str">
        <f aca="false">IF(B741="","",IFERROR(IF(N(INDEX(Fleet!$N$5:$N$79,MATCH(B741,Fleet!$A$5:$A$79,0)))&gt;0,INDEX(Fleet!$N$5:$N$79,MATCH(B741,Fleet!$A$5:$A$79,0)),Assumptions!$B$7),Assumptions!$B$7))</f>
        <v/>
      </c>
      <c r="H741" s="34" t="str">
        <f aca="false">IF(OR(F741="",G741=""),"",F741*G741)</f>
        <v/>
      </c>
      <c r="I741" s="32"/>
      <c r="J741" s="32"/>
      <c r="K741" s="37"/>
      <c r="L741" s="38" t="str">
        <f aca="false">IF(C741="","",DATE(YEAR(C741),MONTH(C741),1))</f>
        <v/>
      </c>
      <c r="M741" s="34" t="str">
        <f aca="false">IF(F741="","",N(H741)+N(I741)-N(J741))</f>
        <v/>
      </c>
      <c r="N741" s="29"/>
    </row>
    <row r="742" customFormat="false" ht="15" hidden="false" customHeight="false" outlineLevel="0" collapsed="false">
      <c r="A742" s="29"/>
      <c r="B742" s="29"/>
      <c r="C742" s="31"/>
      <c r="D742" s="31"/>
      <c r="E742" s="35" t="str">
        <f aca="false">IF(OR(C742="",D742=""),"",MAX(1,D742-C742))</f>
        <v/>
      </c>
      <c r="F742" s="32"/>
      <c r="G742" s="36" t="str">
        <f aca="false">IF(B742="","",IFERROR(IF(N(INDEX(Fleet!$N$5:$N$79,MATCH(B742,Fleet!$A$5:$A$79,0)))&gt;0,INDEX(Fleet!$N$5:$N$79,MATCH(B742,Fleet!$A$5:$A$79,0)),Assumptions!$B$7),Assumptions!$B$7))</f>
        <v/>
      </c>
      <c r="H742" s="34" t="str">
        <f aca="false">IF(OR(F742="",G742=""),"",F742*G742)</f>
        <v/>
      </c>
      <c r="I742" s="32"/>
      <c r="J742" s="32"/>
      <c r="K742" s="37"/>
      <c r="L742" s="38" t="str">
        <f aca="false">IF(C742="","",DATE(YEAR(C742),MONTH(C742),1))</f>
        <v/>
      </c>
      <c r="M742" s="34" t="str">
        <f aca="false">IF(F742="","",N(H742)+N(I742)-N(J742))</f>
        <v/>
      </c>
      <c r="N742" s="29"/>
    </row>
    <row r="743" customFormat="false" ht="15" hidden="false" customHeight="false" outlineLevel="0" collapsed="false">
      <c r="A743" s="29"/>
      <c r="B743" s="29"/>
      <c r="C743" s="31"/>
      <c r="D743" s="31"/>
      <c r="E743" s="35" t="str">
        <f aca="false">IF(OR(C743="",D743=""),"",MAX(1,D743-C743))</f>
        <v/>
      </c>
      <c r="F743" s="32"/>
      <c r="G743" s="36" t="str">
        <f aca="false">IF(B743="","",IFERROR(IF(N(INDEX(Fleet!$N$5:$N$79,MATCH(B743,Fleet!$A$5:$A$79,0)))&gt;0,INDEX(Fleet!$N$5:$N$79,MATCH(B743,Fleet!$A$5:$A$79,0)),Assumptions!$B$7),Assumptions!$B$7))</f>
        <v/>
      </c>
      <c r="H743" s="34" t="str">
        <f aca="false">IF(OR(F743="",G743=""),"",F743*G743)</f>
        <v/>
      </c>
      <c r="I743" s="32"/>
      <c r="J743" s="32"/>
      <c r="K743" s="37"/>
      <c r="L743" s="38" t="str">
        <f aca="false">IF(C743="","",DATE(YEAR(C743),MONTH(C743),1))</f>
        <v/>
      </c>
      <c r="M743" s="34" t="str">
        <f aca="false">IF(F743="","",N(H743)+N(I743)-N(J743))</f>
        <v/>
      </c>
      <c r="N743" s="29"/>
    </row>
    <row r="744" customFormat="false" ht="15" hidden="false" customHeight="false" outlineLevel="0" collapsed="false">
      <c r="A744" s="29"/>
      <c r="B744" s="29"/>
      <c r="C744" s="31"/>
      <c r="D744" s="31"/>
      <c r="E744" s="35" t="str">
        <f aca="false">IF(OR(C744="",D744=""),"",MAX(1,D744-C744))</f>
        <v/>
      </c>
      <c r="F744" s="32"/>
      <c r="G744" s="36" t="str">
        <f aca="false">IF(B744="","",IFERROR(IF(N(INDEX(Fleet!$N$5:$N$79,MATCH(B744,Fleet!$A$5:$A$79,0)))&gt;0,INDEX(Fleet!$N$5:$N$79,MATCH(B744,Fleet!$A$5:$A$79,0)),Assumptions!$B$7),Assumptions!$B$7))</f>
        <v/>
      </c>
      <c r="H744" s="34" t="str">
        <f aca="false">IF(OR(F744="",G744=""),"",F744*G744)</f>
        <v/>
      </c>
      <c r="I744" s="32"/>
      <c r="J744" s="32"/>
      <c r="K744" s="37"/>
      <c r="L744" s="38" t="str">
        <f aca="false">IF(C744="","",DATE(YEAR(C744),MONTH(C744),1))</f>
        <v/>
      </c>
      <c r="M744" s="34" t="str">
        <f aca="false">IF(F744="","",N(H744)+N(I744)-N(J744))</f>
        <v/>
      </c>
      <c r="N744" s="29"/>
    </row>
    <row r="745" customFormat="false" ht="15" hidden="false" customHeight="false" outlineLevel="0" collapsed="false">
      <c r="A745" s="29"/>
      <c r="B745" s="29"/>
      <c r="C745" s="31"/>
      <c r="D745" s="31"/>
      <c r="E745" s="35" t="str">
        <f aca="false">IF(OR(C745="",D745=""),"",MAX(1,D745-C745))</f>
        <v/>
      </c>
      <c r="F745" s="32"/>
      <c r="G745" s="36" t="str">
        <f aca="false">IF(B745="","",IFERROR(IF(N(INDEX(Fleet!$N$5:$N$79,MATCH(B745,Fleet!$A$5:$A$79,0)))&gt;0,INDEX(Fleet!$N$5:$N$79,MATCH(B745,Fleet!$A$5:$A$79,0)),Assumptions!$B$7),Assumptions!$B$7))</f>
        <v/>
      </c>
      <c r="H745" s="34" t="str">
        <f aca="false">IF(OR(F745="",G745=""),"",F745*G745)</f>
        <v/>
      </c>
      <c r="I745" s="32"/>
      <c r="J745" s="32"/>
      <c r="K745" s="37"/>
      <c r="L745" s="38" t="str">
        <f aca="false">IF(C745="","",DATE(YEAR(C745),MONTH(C745),1))</f>
        <v/>
      </c>
      <c r="M745" s="34" t="str">
        <f aca="false">IF(F745="","",N(H745)+N(I745)-N(J745))</f>
        <v/>
      </c>
      <c r="N745" s="29"/>
    </row>
    <row r="746" customFormat="false" ht="15" hidden="false" customHeight="false" outlineLevel="0" collapsed="false">
      <c r="A746" s="29"/>
      <c r="B746" s="29"/>
      <c r="C746" s="31"/>
      <c r="D746" s="31"/>
      <c r="E746" s="35" t="str">
        <f aca="false">IF(OR(C746="",D746=""),"",MAX(1,D746-C746))</f>
        <v/>
      </c>
      <c r="F746" s="32"/>
      <c r="G746" s="36" t="str">
        <f aca="false">IF(B746="","",IFERROR(IF(N(INDEX(Fleet!$N$5:$N$79,MATCH(B746,Fleet!$A$5:$A$79,0)))&gt;0,INDEX(Fleet!$N$5:$N$79,MATCH(B746,Fleet!$A$5:$A$79,0)),Assumptions!$B$7),Assumptions!$B$7))</f>
        <v/>
      </c>
      <c r="H746" s="34" t="str">
        <f aca="false">IF(OR(F746="",G746=""),"",F746*G746)</f>
        <v/>
      </c>
      <c r="I746" s="32"/>
      <c r="J746" s="32"/>
      <c r="K746" s="37"/>
      <c r="L746" s="38" t="str">
        <f aca="false">IF(C746="","",DATE(YEAR(C746),MONTH(C746),1))</f>
        <v/>
      </c>
      <c r="M746" s="34" t="str">
        <f aca="false">IF(F746="","",N(H746)+N(I746)-N(J746))</f>
        <v/>
      </c>
      <c r="N746" s="29"/>
    </row>
    <row r="747" customFormat="false" ht="15" hidden="false" customHeight="false" outlineLevel="0" collapsed="false">
      <c r="A747" s="29"/>
      <c r="B747" s="29"/>
      <c r="C747" s="31"/>
      <c r="D747" s="31"/>
      <c r="E747" s="35" t="str">
        <f aca="false">IF(OR(C747="",D747=""),"",MAX(1,D747-C747))</f>
        <v/>
      </c>
      <c r="F747" s="32"/>
      <c r="G747" s="36" t="str">
        <f aca="false">IF(B747="","",IFERROR(IF(N(INDEX(Fleet!$N$5:$N$79,MATCH(B747,Fleet!$A$5:$A$79,0)))&gt;0,INDEX(Fleet!$N$5:$N$79,MATCH(B747,Fleet!$A$5:$A$79,0)),Assumptions!$B$7),Assumptions!$B$7))</f>
        <v/>
      </c>
      <c r="H747" s="34" t="str">
        <f aca="false">IF(OR(F747="",G747=""),"",F747*G747)</f>
        <v/>
      </c>
      <c r="I747" s="32"/>
      <c r="J747" s="32"/>
      <c r="K747" s="37"/>
      <c r="L747" s="38" t="str">
        <f aca="false">IF(C747="","",DATE(YEAR(C747),MONTH(C747),1))</f>
        <v/>
      </c>
      <c r="M747" s="34" t="str">
        <f aca="false">IF(F747="","",N(H747)+N(I747)-N(J747))</f>
        <v/>
      </c>
      <c r="N747" s="29"/>
    </row>
    <row r="748" customFormat="false" ht="15" hidden="false" customHeight="false" outlineLevel="0" collapsed="false">
      <c r="A748" s="29"/>
      <c r="B748" s="29"/>
      <c r="C748" s="31"/>
      <c r="D748" s="31"/>
      <c r="E748" s="35" t="str">
        <f aca="false">IF(OR(C748="",D748=""),"",MAX(1,D748-C748))</f>
        <v/>
      </c>
      <c r="F748" s="32"/>
      <c r="G748" s="36" t="str">
        <f aca="false">IF(B748="","",IFERROR(IF(N(INDEX(Fleet!$N$5:$N$79,MATCH(B748,Fleet!$A$5:$A$79,0)))&gt;0,INDEX(Fleet!$N$5:$N$79,MATCH(B748,Fleet!$A$5:$A$79,0)),Assumptions!$B$7),Assumptions!$B$7))</f>
        <v/>
      </c>
      <c r="H748" s="34" t="str">
        <f aca="false">IF(OR(F748="",G748=""),"",F748*G748)</f>
        <v/>
      </c>
      <c r="I748" s="32"/>
      <c r="J748" s="32"/>
      <c r="K748" s="37"/>
      <c r="L748" s="38" t="str">
        <f aca="false">IF(C748="","",DATE(YEAR(C748),MONTH(C748),1))</f>
        <v/>
      </c>
      <c r="M748" s="34" t="str">
        <f aca="false">IF(F748="","",N(H748)+N(I748)-N(J748))</f>
        <v/>
      </c>
      <c r="N748" s="29"/>
    </row>
    <row r="749" customFormat="false" ht="15" hidden="false" customHeight="false" outlineLevel="0" collapsed="false">
      <c r="A749" s="29"/>
      <c r="B749" s="29"/>
      <c r="C749" s="31"/>
      <c r="D749" s="31"/>
      <c r="E749" s="35" t="str">
        <f aca="false">IF(OR(C749="",D749=""),"",MAX(1,D749-C749))</f>
        <v/>
      </c>
      <c r="F749" s="32"/>
      <c r="G749" s="36" t="str">
        <f aca="false">IF(B749="","",IFERROR(IF(N(INDEX(Fleet!$N$5:$N$79,MATCH(B749,Fleet!$A$5:$A$79,0)))&gt;0,INDEX(Fleet!$N$5:$N$79,MATCH(B749,Fleet!$A$5:$A$79,0)),Assumptions!$B$7),Assumptions!$B$7))</f>
        <v/>
      </c>
      <c r="H749" s="34" t="str">
        <f aca="false">IF(OR(F749="",G749=""),"",F749*G749)</f>
        <v/>
      </c>
      <c r="I749" s="32"/>
      <c r="J749" s="32"/>
      <c r="K749" s="37"/>
      <c r="L749" s="38" t="str">
        <f aca="false">IF(C749="","",DATE(YEAR(C749),MONTH(C749),1))</f>
        <v/>
      </c>
      <c r="M749" s="34" t="str">
        <f aca="false">IF(F749="","",N(H749)+N(I749)-N(J749))</f>
        <v/>
      </c>
      <c r="N749" s="29"/>
    </row>
    <row r="750" customFormat="false" ht="15" hidden="false" customHeight="false" outlineLevel="0" collapsed="false">
      <c r="A750" s="29"/>
      <c r="B750" s="29"/>
      <c r="C750" s="31"/>
      <c r="D750" s="31"/>
      <c r="E750" s="35" t="str">
        <f aca="false">IF(OR(C750="",D750=""),"",MAX(1,D750-C750))</f>
        <v/>
      </c>
      <c r="F750" s="32"/>
      <c r="G750" s="36" t="str">
        <f aca="false">IF(B750="","",IFERROR(IF(N(INDEX(Fleet!$N$5:$N$79,MATCH(B750,Fleet!$A$5:$A$79,0)))&gt;0,INDEX(Fleet!$N$5:$N$79,MATCH(B750,Fleet!$A$5:$A$79,0)),Assumptions!$B$7),Assumptions!$B$7))</f>
        <v/>
      </c>
      <c r="H750" s="34" t="str">
        <f aca="false">IF(OR(F750="",G750=""),"",F750*G750)</f>
        <v/>
      </c>
      <c r="I750" s="32"/>
      <c r="J750" s="32"/>
      <c r="K750" s="37"/>
      <c r="L750" s="38" t="str">
        <f aca="false">IF(C750="","",DATE(YEAR(C750),MONTH(C750),1))</f>
        <v/>
      </c>
      <c r="M750" s="34" t="str">
        <f aca="false">IF(F750="","",N(H750)+N(I750)-N(J750))</f>
        <v/>
      </c>
      <c r="N750" s="29"/>
    </row>
    <row r="751" customFormat="false" ht="15" hidden="false" customHeight="false" outlineLevel="0" collapsed="false">
      <c r="A751" s="29"/>
      <c r="B751" s="29"/>
      <c r="C751" s="31"/>
      <c r="D751" s="31"/>
      <c r="E751" s="35" t="str">
        <f aca="false">IF(OR(C751="",D751=""),"",MAX(1,D751-C751))</f>
        <v/>
      </c>
      <c r="F751" s="32"/>
      <c r="G751" s="36" t="str">
        <f aca="false">IF(B751="","",IFERROR(IF(N(INDEX(Fleet!$N$5:$N$79,MATCH(B751,Fleet!$A$5:$A$79,0)))&gt;0,INDEX(Fleet!$N$5:$N$79,MATCH(B751,Fleet!$A$5:$A$79,0)),Assumptions!$B$7),Assumptions!$B$7))</f>
        <v/>
      </c>
      <c r="H751" s="34" t="str">
        <f aca="false">IF(OR(F751="",G751=""),"",F751*G751)</f>
        <v/>
      </c>
      <c r="I751" s="32"/>
      <c r="J751" s="32"/>
      <c r="K751" s="37"/>
      <c r="L751" s="38" t="str">
        <f aca="false">IF(C751="","",DATE(YEAR(C751),MONTH(C751),1))</f>
        <v/>
      </c>
      <c r="M751" s="34" t="str">
        <f aca="false">IF(F751="","",N(H751)+N(I751)-N(J751))</f>
        <v/>
      </c>
      <c r="N751" s="29"/>
    </row>
    <row r="752" customFormat="false" ht="15" hidden="false" customHeight="false" outlineLevel="0" collapsed="false">
      <c r="A752" s="29"/>
      <c r="B752" s="29"/>
      <c r="C752" s="31"/>
      <c r="D752" s="31"/>
      <c r="E752" s="35" t="str">
        <f aca="false">IF(OR(C752="",D752=""),"",MAX(1,D752-C752))</f>
        <v/>
      </c>
      <c r="F752" s="32"/>
      <c r="G752" s="36" t="str">
        <f aca="false">IF(B752="","",IFERROR(IF(N(INDEX(Fleet!$N$5:$N$79,MATCH(B752,Fleet!$A$5:$A$79,0)))&gt;0,INDEX(Fleet!$N$5:$N$79,MATCH(B752,Fleet!$A$5:$A$79,0)),Assumptions!$B$7),Assumptions!$B$7))</f>
        <v/>
      </c>
      <c r="H752" s="34" t="str">
        <f aca="false">IF(OR(F752="",G752=""),"",F752*G752)</f>
        <v/>
      </c>
      <c r="I752" s="32"/>
      <c r="J752" s="32"/>
      <c r="K752" s="37"/>
      <c r="L752" s="38" t="str">
        <f aca="false">IF(C752="","",DATE(YEAR(C752),MONTH(C752),1))</f>
        <v/>
      </c>
      <c r="M752" s="34" t="str">
        <f aca="false">IF(F752="","",N(H752)+N(I752)-N(J752))</f>
        <v/>
      </c>
      <c r="N752" s="29"/>
    </row>
    <row r="753" customFormat="false" ht="15" hidden="false" customHeight="false" outlineLevel="0" collapsed="false">
      <c r="A753" s="29"/>
      <c r="B753" s="29"/>
      <c r="C753" s="31"/>
      <c r="D753" s="31"/>
      <c r="E753" s="35" t="str">
        <f aca="false">IF(OR(C753="",D753=""),"",MAX(1,D753-C753))</f>
        <v/>
      </c>
      <c r="F753" s="32"/>
      <c r="G753" s="36" t="str">
        <f aca="false">IF(B753="","",IFERROR(IF(N(INDEX(Fleet!$N$5:$N$79,MATCH(B753,Fleet!$A$5:$A$79,0)))&gt;0,INDEX(Fleet!$N$5:$N$79,MATCH(B753,Fleet!$A$5:$A$79,0)),Assumptions!$B$7),Assumptions!$B$7))</f>
        <v/>
      </c>
      <c r="H753" s="34" t="str">
        <f aca="false">IF(OR(F753="",G753=""),"",F753*G753)</f>
        <v/>
      </c>
      <c r="I753" s="32"/>
      <c r="J753" s="32"/>
      <c r="K753" s="37"/>
      <c r="L753" s="38" t="str">
        <f aca="false">IF(C753="","",DATE(YEAR(C753),MONTH(C753),1))</f>
        <v/>
      </c>
      <c r="M753" s="34" t="str">
        <f aca="false">IF(F753="","",N(H753)+N(I753)-N(J753))</f>
        <v/>
      </c>
      <c r="N753" s="29"/>
    </row>
    <row r="754" customFormat="false" ht="15" hidden="false" customHeight="false" outlineLevel="0" collapsed="false">
      <c r="A754" s="29"/>
      <c r="B754" s="29"/>
      <c r="C754" s="31"/>
      <c r="D754" s="31"/>
      <c r="E754" s="35" t="str">
        <f aca="false">IF(OR(C754="",D754=""),"",MAX(1,D754-C754))</f>
        <v/>
      </c>
      <c r="F754" s="32"/>
      <c r="G754" s="36" t="str">
        <f aca="false">IF(B754="","",IFERROR(IF(N(INDEX(Fleet!$N$5:$N$79,MATCH(B754,Fleet!$A$5:$A$79,0)))&gt;0,INDEX(Fleet!$N$5:$N$79,MATCH(B754,Fleet!$A$5:$A$79,0)),Assumptions!$B$7),Assumptions!$B$7))</f>
        <v/>
      </c>
      <c r="H754" s="34" t="str">
        <f aca="false">IF(OR(F754="",G754=""),"",F754*G754)</f>
        <v/>
      </c>
      <c r="I754" s="32"/>
      <c r="J754" s="32"/>
      <c r="K754" s="37"/>
      <c r="L754" s="38" t="str">
        <f aca="false">IF(C754="","",DATE(YEAR(C754),MONTH(C754),1))</f>
        <v/>
      </c>
      <c r="M754" s="34" t="str">
        <f aca="false">IF(F754="","",N(H754)+N(I754)-N(J754))</f>
        <v/>
      </c>
      <c r="N754" s="29"/>
    </row>
    <row r="755" customFormat="false" ht="15" hidden="false" customHeight="false" outlineLevel="0" collapsed="false">
      <c r="A755" s="29"/>
      <c r="B755" s="29"/>
      <c r="C755" s="31"/>
      <c r="D755" s="31"/>
      <c r="E755" s="35" t="str">
        <f aca="false">IF(OR(C755="",D755=""),"",MAX(1,D755-C755))</f>
        <v/>
      </c>
      <c r="F755" s="32"/>
      <c r="G755" s="36" t="str">
        <f aca="false">IF(B755="","",IFERROR(IF(N(INDEX(Fleet!$N$5:$N$79,MATCH(B755,Fleet!$A$5:$A$79,0)))&gt;0,INDEX(Fleet!$N$5:$N$79,MATCH(B755,Fleet!$A$5:$A$79,0)),Assumptions!$B$7),Assumptions!$B$7))</f>
        <v/>
      </c>
      <c r="H755" s="34" t="str">
        <f aca="false">IF(OR(F755="",G755=""),"",F755*G755)</f>
        <v/>
      </c>
      <c r="I755" s="32"/>
      <c r="J755" s="32"/>
      <c r="K755" s="37"/>
      <c r="L755" s="38" t="str">
        <f aca="false">IF(C755="","",DATE(YEAR(C755),MONTH(C755),1))</f>
        <v/>
      </c>
      <c r="M755" s="34" t="str">
        <f aca="false">IF(F755="","",N(H755)+N(I755)-N(J755))</f>
        <v/>
      </c>
      <c r="N755" s="29"/>
    </row>
    <row r="756" customFormat="false" ht="15" hidden="false" customHeight="false" outlineLevel="0" collapsed="false">
      <c r="A756" s="29"/>
      <c r="B756" s="29"/>
      <c r="C756" s="31"/>
      <c r="D756" s="31"/>
      <c r="E756" s="35" t="str">
        <f aca="false">IF(OR(C756="",D756=""),"",MAX(1,D756-C756))</f>
        <v/>
      </c>
      <c r="F756" s="32"/>
      <c r="G756" s="36" t="str">
        <f aca="false">IF(B756="","",IFERROR(IF(N(INDEX(Fleet!$N$5:$N$79,MATCH(B756,Fleet!$A$5:$A$79,0)))&gt;0,INDEX(Fleet!$N$5:$N$79,MATCH(B756,Fleet!$A$5:$A$79,0)),Assumptions!$B$7),Assumptions!$B$7))</f>
        <v/>
      </c>
      <c r="H756" s="34" t="str">
        <f aca="false">IF(OR(F756="",G756=""),"",F756*G756)</f>
        <v/>
      </c>
      <c r="I756" s="32"/>
      <c r="J756" s="32"/>
      <c r="K756" s="37"/>
      <c r="L756" s="38" t="str">
        <f aca="false">IF(C756="","",DATE(YEAR(C756),MONTH(C756),1))</f>
        <v/>
      </c>
      <c r="M756" s="34" t="str">
        <f aca="false">IF(F756="","",N(H756)+N(I756)-N(J756))</f>
        <v/>
      </c>
      <c r="N756" s="29"/>
    </row>
    <row r="757" customFormat="false" ht="15" hidden="false" customHeight="false" outlineLevel="0" collapsed="false">
      <c r="A757" s="29"/>
      <c r="B757" s="29"/>
      <c r="C757" s="31"/>
      <c r="D757" s="31"/>
      <c r="E757" s="35" t="str">
        <f aca="false">IF(OR(C757="",D757=""),"",MAX(1,D757-C757))</f>
        <v/>
      </c>
      <c r="F757" s="32"/>
      <c r="G757" s="36" t="str">
        <f aca="false">IF(B757="","",IFERROR(IF(N(INDEX(Fleet!$N$5:$N$79,MATCH(B757,Fleet!$A$5:$A$79,0)))&gt;0,INDEX(Fleet!$N$5:$N$79,MATCH(B757,Fleet!$A$5:$A$79,0)),Assumptions!$B$7),Assumptions!$B$7))</f>
        <v/>
      </c>
      <c r="H757" s="34" t="str">
        <f aca="false">IF(OR(F757="",G757=""),"",F757*G757)</f>
        <v/>
      </c>
      <c r="I757" s="32"/>
      <c r="J757" s="32"/>
      <c r="K757" s="37"/>
      <c r="L757" s="38" t="str">
        <f aca="false">IF(C757="","",DATE(YEAR(C757),MONTH(C757),1))</f>
        <v/>
      </c>
      <c r="M757" s="34" t="str">
        <f aca="false">IF(F757="","",N(H757)+N(I757)-N(J757))</f>
        <v/>
      </c>
      <c r="N757" s="29"/>
    </row>
    <row r="758" customFormat="false" ht="15" hidden="false" customHeight="false" outlineLevel="0" collapsed="false">
      <c r="A758" s="29"/>
      <c r="B758" s="29"/>
      <c r="C758" s="31"/>
      <c r="D758" s="31"/>
      <c r="E758" s="35" t="str">
        <f aca="false">IF(OR(C758="",D758=""),"",MAX(1,D758-C758))</f>
        <v/>
      </c>
      <c r="F758" s="32"/>
      <c r="G758" s="36" t="str">
        <f aca="false">IF(B758="","",IFERROR(IF(N(INDEX(Fleet!$N$5:$N$79,MATCH(B758,Fleet!$A$5:$A$79,0)))&gt;0,INDEX(Fleet!$N$5:$N$79,MATCH(B758,Fleet!$A$5:$A$79,0)),Assumptions!$B$7),Assumptions!$B$7))</f>
        <v/>
      </c>
      <c r="H758" s="34" t="str">
        <f aca="false">IF(OR(F758="",G758=""),"",F758*G758)</f>
        <v/>
      </c>
      <c r="I758" s="32"/>
      <c r="J758" s="32"/>
      <c r="K758" s="37"/>
      <c r="L758" s="38" t="str">
        <f aca="false">IF(C758="","",DATE(YEAR(C758),MONTH(C758),1))</f>
        <v/>
      </c>
      <c r="M758" s="34" t="str">
        <f aca="false">IF(F758="","",N(H758)+N(I758)-N(J758))</f>
        <v/>
      </c>
      <c r="N758" s="29"/>
    </row>
    <row r="759" customFormat="false" ht="15" hidden="false" customHeight="false" outlineLevel="0" collapsed="false">
      <c r="A759" s="29"/>
      <c r="B759" s="29"/>
      <c r="C759" s="31"/>
      <c r="D759" s="31"/>
      <c r="E759" s="35" t="str">
        <f aca="false">IF(OR(C759="",D759=""),"",MAX(1,D759-C759))</f>
        <v/>
      </c>
      <c r="F759" s="32"/>
      <c r="G759" s="36" t="str">
        <f aca="false">IF(B759="","",IFERROR(IF(N(INDEX(Fleet!$N$5:$N$79,MATCH(B759,Fleet!$A$5:$A$79,0)))&gt;0,INDEX(Fleet!$N$5:$N$79,MATCH(B759,Fleet!$A$5:$A$79,0)),Assumptions!$B$7),Assumptions!$B$7))</f>
        <v/>
      </c>
      <c r="H759" s="34" t="str">
        <f aca="false">IF(OR(F759="",G759=""),"",F759*G759)</f>
        <v/>
      </c>
      <c r="I759" s="32"/>
      <c r="J759" s="32"/>
      <c r="K759" s="37"/>
      <c r="L759" s="38" t="str">
        <f aca="false">IF(C759="","",DATE(YEAR(C759),MONTH(C759),1))</f>
        <v/>
      </c>
      <c r="M759" s="34" t="str">
        <f aca="false">IF(F759="","",N(H759)+N(I759)-N(J759))</f>
        <v/>
      </c>
      <c r="N759" s="29"/>
    </row>
    <row r="760" customFormat="false" ht="15" hidden="false" customHeight="false" outlineLevel="0" collapsed="false">
      <c r="A760" s="29"/>
      <c r="B760" s="29"/>
      <c r="C760" s="31"/>
      <c r="D760" s="31"/>
      <c r="E760" s="35" t="str">
        <f aca="false">IF(OR(C760="",D760=""),"",MAX(1,D760-C760))</f>
        <v/>
      </c>
      <c r="F760" s="32"/>
      <c r="G760" s="36" t="str">
        <f aca="false">IF(B760="","",IFERROR(IF(N(INDEX(Fleet!$N$5:$N$79,MATCH(B760,Fleet!$A$5:$A$79,0)))&gt;0,INDEX(Fleet!$N$5:$N$79,MATCH(B760,Fleet!$A$5:$A$79,0)),Assumptions!$B$7),Assumptions!$B$7))</f>
        <v/>
      </c>
      <c r="H760" s="34" t="str">
        <f aca="false">IF(OR(F760="",G760=""),"",F760*G760)</f>
        <v/>
      </c>
      <c r="I760" s="32"/>
      <c r="J760" s="32"/>
      <c r="K760" s="37"/>
      <c r="L760" s="38" t="str">
        <f aca="false">IF(C760="","",DATE(YEAR(C760),MONTH(C760),1))</f>
        <v/>
      </c>
      <c r="M760" s="34" t="str">
        <f aca="false">IF(F760="","",N(H760)+N(I760)-N(J760))</f>
        <v/>
      </c>
      <c r="N760" s="29"/>
    </row>
    <row r="761" customFormat="false" ht="15" hidden="false" customHeight="false" outlineLevel="0" collapsed="false">
      <c r="A761" s="29"/>
      <c r="B761" s="29"/>
      <c r="C761" s="31"/>
      <c r="D761" s="31"/>
      <c r="E761" s="35" t="str">
        <f aca="false">IF(OR(C761="",D761=""),"",MAX(1,D761-C761))</f>
        <v/>
      </c>
      <c r="F761" s="32"/>
      <c r="G761" s="36" t="str">
        <f aca="false">IF(B761="","",IFERROR(IF(N(INDEX(Fleet!$N$5:$N$79,MATCH(B761,Fleet!$A$5:$A$79,0)))&gt;0,INDEX(Fleet!$N$5:$N$79,MATCH(B761,Fleet!$A$5:$A$79,0)),Assumptions!$B$7),Assumptions!$B$7))</f>
        <v/>
      </c>
      <c r="H761" s="34" t="str">
        <f aca="false">IF(OR(F761="",G761=""),"",F761*G761)</f>
        <v/>
      </c>
      <c r="I761" s="32"/>
      <c r="J761" s="32"/>
      <c r="K761" s="37"/>
      <c r="L761" s="38" t="str">
        <f aca="false">IF(C761="","",DATE(YEAR(C761),MONTH(C761),1))</f>
        <v/>
      </c>
      <c r="M761" s="34" t="str">
        <f aca="false">IF(F761="","",N(H761)+N(I761)-N(J761))</f>
        <v/>
      </c>
      <c r="N761" s="29"/>
    </row>
    <row r="762" customFormat="false" ht="15" hidden="false" customHeight="false" outlineLevel="0" collapsed="false">
      <c r="A762" s="29"/>
      <c r="B762" s="29"/>
      <c r="C762" s="31"/>
      <c r="D762" s="31"/>
      <c r="E762" s="35" t="str">
        <f aca="false">IF(OR(C762="",D762=""),"",MAX(1,D762-C762))</f>
        <v/>
      </c>
      <c r="F762" s="32"/>
      <c r="G762" s="36" t="str">
        <f aca="false">IF(B762="","",IFERROR(IF(N(INDEX(Fleet!$N$5:$N$79,MATCH(B762,Fleet!$A$5:$A$79,0)))&gt;0,INDEX(Fleet!$N$5:$N$79,MATCH(B762,Fleet!$A$5:$A$79,0)),Assumptions!$B$7),Assumptions!$B$7))</f>
        <v/>
      </c>
      <c r="H762" s="34" t="str">
        <f aca="false">IF(OR(F762="",G762=""),"",F762*G762)</f>
        <v/>
      </c>
      <c r="I762" s="32"/>
      <c r="J762" s="32"/>
      <c r="K762" s="37"/>
      <c r="L762" s="38" t="str">
        <f aca="false">IF(C762="","",DATE(YEAR(C762),MONTH(C762),1))</f>
        <v/>
      </c>
      <c r="M762" s="34" t="str">
        <f aca="false">IF(F762="","",N(H762)+N(I762)-N(J762))</f>
        <v/>
      </c>
      <c r="N762" s="29"/>
    </row>
    <row r="763" customFormat="false" ht="15" hidden="false" customHeight="false" outlineLevel="0" collapsed="false">
      <c r="A763" s="29"/>
      <c r="B763" s="29"/>
      <c r="C763" s="31"/>
      <c r="D763" s="31"/>
      <c r="E763" s="35" t="str">
        <f aca="false">IF(OR(C763="",D763=""),"",MAX(1,D763-C763))</f>
        <v/>
      </c>
      <c r="F763" s="32"/>
      <c r="G763" s="36" t="str">
        <f aca="false">IF(B763="","",IFERROR(IF(N(INDEX(Fleet!$N$5:$N$79,MATCH(B763,Fleet!$A$5:$A$79,0)))&gt;0,INDEX(Fleet!$N$5:$N$79,MATCH(B763,Fleet!$A$5:$A$79,0)),Assumptions!$B$7),Assumptions!$B$7))</f>
        <v/>
      </c>
      <c r="H763" s="34" t="str">
        <f aca="false">IF(OR(F763="",G763=""),"",F763*G763)</f>
        <v/>
      </c>
      <c r="I763" s="32"/>
      <c r="J763" s="32"/>
      <c r="K763" s="37"/>
      <c r="L763" s="38" t="str">
        <f aca="false">IF(C763="","",DATE(YEAR(C763),MONTH(C763),1))</f>
        <v/>
      </c>
      <c r="M763" s="34" t="str">
        <f aca="false">IF(F763="","",N(H763)+N(I763)-N(J763))</f>
        <v/>
      </c>
      <c r="N763" s="29"/>
    </row>
    <row r="764" customFormat="false" ht="15" hidden="false" customHeight="false" outlineLevel="0" collapsed="false">
      <c r="A764" s="29"/>
      <c r="B764" s="29"/>
      <c r="C764" s="31"/>
      <c r="D764" s="31"/>
      <c r="E764" s="35" t="str">
        <f aca="false">IF(OR(C764="",D764=""),"",MAX(1,D764-C764))</f>
        <v/>
      </c>
      <c r="F764" s="32"/>
      <c r="G764" s="36" t="str">
        <f aca="false">IF(B764="","",IFERROR(IF(N(INDEX(Fleet!$N$5:$N$79,MATCH(B764,Fleet!$A$5:$A$79,0)))&gt;0,INDEX(Fleet!$N$5:$N$79,MATCH(B764,Fleet!$A$5:$A$79,0)),Assumptions!$B$7),Assumptions!$B$7))</f>
        <v/>
      </c>
      <c r="H764" s="34" t="str">
        <f aca="false">IF(OR(F764="",G764=""),"",F764*G764)</f>
        <v/>
      </c>
      <c r="I764" s="32"/>
      <c r="J764" s="32"/>
      <c r="K764" s="37"/>
      <c r="L764" s="38" t="str">
        <f aca="false">IF(C764="","",DATE(YEAR(C764),MONTH(C764),1))</f>
        <v/>
      </c>
      <c r="M764" s="34" t="str">
        <f aca="false">IF(F764="","",N(H764)+N(I764)-N(J764))</f>
        <v/>
      </c>
      <c r="N764" s="29"/>
    </row>
    <row r="765" customFormat="false" ht="15" hidden="false" customHeight="false" outlineLevel="0" collapsed="false">
      <c r="A765" s="29"/>
      <c r="B765" s="29"/>
      <c r="C765" s="31"/>
      <c r="D765" s="31"/>
      <c r="E765" s="35" t="str">
        <f aca="false">IF(OR(C765="",D765=""),"",MAX(1,D765-C765))</f>
        <v/>
      </c>
      <c r="F765" s="32"/>
      <c r="G765" s="36" t="str">
        <f aca="false">IF(B765="","",IFERROR(IF(N(INDEX(Fleet!$N$5:$N$79,MATCH(B765,Fleet!$A$5:$A$79,0)))&gt;0,INDEX(Fleet!$N$5:$N$79,MATCH(B765,Fleet!$A$5:$A$79,0)),Assumptions!$B$7),Assumptions!$B$7))</f>
        <v/>
      </c>
      <c r="H765" s="34" t="str">
        <f aca="false">IF(OR(F765="",G765=""),"",F765*G765)</f>
        <v/>
      </c>
      <c r="I765" s="32"/>
      <c r="J765" s="32"/>
      <c r="K765" s="37"/>
      <c r="L765" s="38" t="str">
        <f aca="false">IF(C765="","",DATE(YEAR(C765),MONTH(C765),1))</f>
        <v/>
      </c>
      <c r="M765" s="34" t="str">
        <f aca="false">IF(F765="","",N(H765)+N(I765)-N(J765))</f>
        <v/>
      </c>
      <c r="N765" s="29"/>
    </row>
    <row r="766" customFormat="false" ht="15" hidden="false" customHeight="false" outlineLevel="0" collapsed="false">
      <c r="A766" s="29"/>
      <c r="B766" s="29"/>
      <c r="C766" s="31"/>
      <c r="D766" s="31"/>
      <c r="E766" s="35" t="str">
        <f aca="false">IF(OR(C766="",D766=""),"",MAX(1,D766-C766))</f>
        <v/>
      </c>
      <c r="F766" s="32"/>
      <c r="G766" s="36" t="str">
        <f aca="false">IF(B766="","",IFERROR(IF(N(INDEX(Fleet!$N$5:$N$79,MATCH(B766,Fleet!$A$5:$A$79,0)))&gt;0,INDEX(Fleet!$N$5:$N$79,MATCH(B766,Fleet!$A$5:$A$79,0)),Assumptions!$B$7),Assumptions!$B$7))</f>
        <v/>
      </c>
      <c r="H766" s="34" t="str">
        <f aca="false">IF(OR(F766="",G766=""),"",F766*G766)</f>
        <v/>
      </c>
      <c r="I766" s="32"/>
      <c r="J766" s="32"/>
      <c r="K766" s="37"/>
      <c r="L766" s="38" t="str">
        <f aca="false">IF(C766="","",DATE(YEAR(C766),MONTH(C766),1))</f>
        <v/>
      </c>
      <c r="M766" s="34" t="str">
        <f aca="false">IF(F766="","",N(H766)+N(I766)-N(J766))</f>
        <v/>
      </c>
      <c r="N766" s="29"/>
    </row>
    <row r="767" customFormat="false" ht="15" hidden="false" customHeight="false" outlineLevel="0" collapsed="false">
      <c r="A767" s="29"/>
      <c r="B767" s="29"/>
      <c r="C767" s="31"/>
      <c r="D767" s="31"/>
      <c r="E767" s="35" t="str">
        <f aca="false">IF(OR(C767="",D767=""),"",MAX(1,D767-C767))</f>
        <v/>
      </c>
      <c r="F767" s="32"/>
      <c r="G767" s="36" t="str">
        <f aca="false">IF(B767="","",IFERROR(IF(N(INDEX(Fleet!$N$5:$N$79,MATCH(B767,Fleet!$A$5:$A$79,0)))&gt;0,INDEX(Fleet!$N$5:$N$79,MATCH(B767,Fleet!$A$5:$A$79,0)),Assumptions!$B$7),Assumptions!$B$7))</f>
        <v/>
      </c>
      <c r="H767" s="34" t="str">
        <f aca="false">IF(OR(F767="",G767=""),"",F767*G767)</f>
        <v/>
      </c>
      <c r="I767" s="32"/>
      <c r="J767" s="32"/>
      <c r="K767" s="37"/>
      <c r="L767" s="38" t="str">
        <f aca="false">IF(C767="","",DATE(YEAR(C767),MONTH(C767),1))</f>
        <v/>
      </c>
      <c r="M767" s="34" t="str">
        <f aca="false">IF(F767="","",N(H767)+N(I767)-N(J767))</f>
        <v/>
      </c>
      <c r="N767" s="29"/>
    </row>
    <row r="768" customFormat="false" ht="15" hidden="false" customHeight="false" outlineLevel="0" collapsed="false">
      <c r="A768" s="29"/>
      <c r="B768" s="29"/>
      <c r="C768" s="31"/>
      <c r="D768" s="31"/>
      <c r="E768" s="35" t="str">
        <f aca="false">IF(OR(C768="",D768=""),"",MAX(1,D768-C768))</f>
        <v/>
      </c>
      <c r="F768" s="32"/>
      <c r="G768" s="36" t="str">
        <f aca="false">IF(B768="","",IFERROR(IF(N(INDEX(Fleet!$N$5:$N$79,MATCH(B768,Fleet!$A$5:$A$79,0)))&gt;0,INDEX(Fleet!$N$5:$N$79,MATCH(B768,Fleet!$A$5:$A$79,0)),Assumptions!$B$7),Assumptions!$B$7))</f>
        <v/>
      </c>
      <c r="H768" s="34" t="str">
        <f aca="false">IF(OR(F768="",G768=""),"",F768*G768)</f>
        <v/>
      </c>
      <c r="I768" s="32"/>
      <c r="J768" s="32"/>
      <c r="K768" s="37"/>
      <c r="L768" s="38" t="str">
        <f aca="false">IF(C768="","",DATE(YEAR(C768),MONTH(C768),1))</f>
        <v/>
      </c>
      <c r="M768" s="34" t="str">
        <f aca="false">IF(F768="","",N(H768)+N(I768)-N(J768))</f>
        <v/>
      </c>
      <c r="N768" s="29"/>
    </row>
    <row r="769" customFormat="false" ht="15" hidden="false" customHeight="false" outlineLevel="0" collapsed="false">
      <c r="A769" s="29"/>
      <c r="B769" s="29"/>
      <c r="C769" s="31"/>
      <c r="D769" s="31"/>
      <c r="E769" s="35" t="str">
        <f aca="false">IF(OR(C769="",D769=""),"",MAX(1,D769-C769))</f>
        <v/>
      </c>
      <c r="F769" s="32"/>
      <c r="G769" s="36" t="str">
        <f aca="false">IF(B769="","",IFERROR(IF(N(INDEX(Fleet!$N$5:$N$79,MATCH(B769,Fleet!$A$5:$A$79,0)))&gt;0,INDEX(Fleet!$N$5:$N$79,MATCH(B769,Fleet!$A$5:$A$79,0)),Assumptions!$B$7),Assumptions!$B$7))</f>
        <v/>
      </c>
      <c r="H769" s="34" t="str">
        <f aca="false">IF(OR(F769="",G769=""),"",F769*G769)</f>
        <v/>
      </c>
      <c r="I769" s="32"/>
      <c r="J769" s="32"/>
      <c r="K769" s="37"/>
      <c r="L769" s="38" t="str">
        <f aca="false">IF(C769="","",DATE(YEAR(C769),MONTH(C769),1))</f>
        <v/>
      </c>
      <c r="M769" s="34" t="str">
        <f aca="false">IF(F769="","",N(H769)+N(I769)-N(J769))</f>
        <v/>
      </c>
      <c r="N769" s="29"/>
    </row>
    <row r="770" customFormat="false" ht="15" hidden="false" customHeight="false" outlineLevel="0" collapsed="false">
      <c r="A770" s="29"/>
      <c r="B770" s="29"/>
      <c r="C770" s="31"/>
      <c r="D770" s="31"/>
      <c r="E770" s="35" t="str">
        <f aca="false">IF(OR(C770="",D770=""),"",MAX(1,D770-C770))</f>
        <v/>
      </c>
      <c r="F770" s="32"/>
      <c r="G770" s="36" t="str">
        <f aca="false">IF(B770="","",IFERROR(IF(N(INDEX(Fleet!$N$5:$N$79,MATCH(B770,Fleet!$A$5:$A$79,0)))&gt;0,INDEX(Fleet!$N$5:$N$79,MATCH(B770,Fleet!$A$5:$A$79,0)),Assumptions!$B$7),Assumptions!$B$7))</f>
        <v/>
      </c>
      <c r="H770" s="34" t="str">
        <f aca="false">IF(OR(F770="",G770=""),"",F770*G770)</f>
        <v/>
      </c>
      <c r="I770" s="32"/>
      <c r="J770" s="32"/>
      <c r="K770" s="37"/>
      <c r="L770" s="38" t="str">
        <f aca="false">IF(C770="","",DATE(YEAR(C770),MONTH(C770),1))</f>
        <v/>
      </c>
      <c r="M770" s="34" t="str">
        <f aca="false">IF(F770="","",N(H770)+N(I770)-N(J770))</f>
        <v/>
      </c>
      <c r="N770" s="29"/>
    </row>
    <row r="771" customFormat="false" ht="15" hidden="false" customHeight="false" outlineLevel="0" collapsed="false">
      <c r="A771" s="29"/>
      <c r="B771" s="29"/>
      <c r="C771" s="31"/>
      <c r="D771" s="31"/>
      <c r="E771" s="35" t="str">
        <f aca="false">IF(OR(C771="",D771=""),"",MAX(1,D771-C771))</f>
        <v/>
      </c>
      <c r="F771" s="32"/>
      <c r="G771" s="36" t="str">
        <f aca="false">IF(B771="","",IFERROR(IF(N(INDEX(Fleet!$N$5:$N$79,MATCH(B771,Fleet!$A$5:$A$79,0)))&gt;0,INDEX(Fleet!$N$5:$N$79,MATCH(B771,Fleet!$A$5:$A$79,0)),Assumptions!$B$7),Assumptions!$B$7))</f>
        <v/>
      </c>
      <c r="H771" s="34" t="str">
        <f aca="false">IF(OR(F771="",G771=""),"",F771*G771)</f>
        <v/>
      </c>
      <c r="I771" s="32"/>
      <c r="J771" s="32"/>
      <c r="K771" s="37"/>
      <c r="L771" s="38" t="str">
        <f aca="false">IF(C771="","",DATE(YEAR(C771),MONTH(C771),1))</f>
        <v/>
      </c>
      <c r="M771" s="34" t="str">
        <f aca="false">IF(F771="","",N(H771)+N(I771)-N(J771))</f>
        <v/>
      </c>
      <c r="N771" s="29"/>
    </row>
    <row r="772" customFormat="false" ht="15" hidden="false" customHeight="false" outlineLevel="0" collapsed="false">
      <c r="A772" s="29"/>
      <c r="B772" s="29"/>
      <c r="C772" s="31"/>
      <c r="D772" s="31"/>
      <c r="E772" s="35" t="str">
        <f aca="false">IF(OR(C772="",D772=""),"",MAX(1,D772-C772))</f>
        <v/>
      </c>
      <c r="F772" s="32"/>
      <c r="G772" s="36" t="str">
        <f aca="false">IF(B772="","",IFERROR(IF(N(INDEX(Fleet!$N$5:$N$79,MATCH(B772,Fleet!$A$5:$A$79,0)))&gt;0,INDEX(Fleet!$N$5:$N$79,MATCH(B772,Fleet!$A$5:$A$79,0)),Assumptions!$B$7),Assumptions!$B$7))</f>
        <v/>
      </c>
      <c r="H772" s="34" t="str">
        <f aca="false">IF(OR(F772="",G772=""),"",F772*G772)</f>
        <v/>
      </c>
      <c r="I772" s="32"/>
      <c r="J772" s="32"/>
      <c r="K772" s="37"/>
      <c r="L772" s="38" t="str">
        <f aca="false">IF(C772="","",DATE(YEAR(C772),MONTH(C772),1))</f>
        <v/>
      </c>
      <c r="M772" s="34" t="str">
        <f aca="false">IF(F772="","",N(H772)+N(I772)-N(J772))</f>
        <v/>
      </c>
      <c r="N772" s="29"/>
    </row>
    <row r="773" customFormat="false" ht="15" hidden="false" customHeight="false" outlineLevel="0" collapsed="false">
      <c r="A773" s="29"/>
      <c r="B773" s="29"/>
      <c r="C773" s="31"/>
      <c r="D773" s="31"/>
      <c r="E773" s="35" t="str">
        <f aca="false">IF(OR(C773="",D773=""),"",MAX(1,D773-C773))</f>
        <v/>
      </c>
      <c r="F773" s="32"/>
      <c r="G773" s="36" t="str">
        <f aca="false">IF(B773="","",IFERROR(IF(N(INDEX(Fleet!$N$5:$N$79,MATCH(B773,Fleet!$A$5:$A$79,0)))&gt;0,INDEX(Fleet!$N$5:$N$79,MATCH(B773,Fleet!$A$5:$A$79,0)),Assumptions!$B$7),Assumptions!$B$7))</f>
        <v/>
      </c>
      <c r="H773" s="34" t="str">
        <f aca="false">IF(OR(F773="",G773=""),"",F773*G773)</f>
        <v/>
      </c>
      <c r="I773" s="32"/>
      <c r="J773" s="32"/>
      <c r="K773" s="37"/>
      <c r="L773" s="38" t="str">
        <f aca="false">IF(C773="","",DATE(YEAR(C773),MONTH(C773),1))</f>
        <v/>
      </c>
      <c r="M773" s="34" t="str">
        <f aca="false">IF(F773="","",N(H773)+N(I773)-N(J773))</f>
        <v/>
      </c>
      <c r="N773" s="29"/>
    </row>
    <row r="774" customFormat="false" ht="15" hidden="false" customHeight="false" outlineLevel="0" collapsed="false">
      <c r="A774" s="29"/>
      <c r="B774" s="29"/>
      <c r="C774" s="31"/>
      <c r="D774" s="31"/>
      <c r="E774" s="35" t="str">
        <f aca="false">IF(OR(C774="",D774=""),"",MAX(1,D774-C774))</f>
        <v/>
      </c>
      <c r="F774" s="32"/>
      <c r="G774" s="36" t="str">
        <f aca="false">IF(B774="","",IFERROR(IF(N(INDEX(Fleet!$N$5:$N$79,MATCH(B774,Fleet!$A$5:$A$79,0)))&gt;0,INDEX(Fleet!$N$5:$N$79,MATCH(B774,Fleet!$A$5:$A$79,0)),Assumptions!$B$7),Assumptions!$B$7))</f>
        <v/>
      </c>
      <c r="H774" s="34" t="str">
        <f aca="false">IF(OR(F774="",G774=""),"",F774*G774)</f>
        <v/>
      </c>
      <c r="I774" s="32"/>
      <c r="J774" s="32"/>
      <c r="K774" s="37"/>
      <c r="L774" s="38" t="str">
        <f aca="false">IF(C774="","",DATE(YEAR(C774),MONTH(C774),1))</f>
        <v/>
      </c>
      <c r="M774" s="34" t="str">
        <f aca="false">IF(F774="","",N(H774)+N(I774)-N(J774))</f>
        <v/>
      </c>
      <c r="N774" s="29"/>
    </row>
    <row r="775" customFormat="false" ht="15" hidden="false" customHeight="false" outlineLevel="0" collapsed="false">
      <c r="A775" s="29"/>
      <c r="B775" s="29"/>
      <c r="C775" s="31"/>
      <c r="D775" s="31"/>
      <c r="E775" s="35" t="str">
        <f aca="false">IF(OR(C775="",D775=""),"",MAX(1,D775-C775))</f>
        <v/>
      </c>
      <c r="F775" s="32"/>
      <c r="G775" s="36" t="str">
        <f aca="false">IF(B775="","",IFERROR(IF(N(INDEX(Fleet!$N$5:$N$79,MATCH(B775,Fleet!$A$5:$A$79,0)))&gt;0,INDEX(Fleet!$N$5:$N$79,MATCH(B775,Fleet!$A$5:$A$79,0)),Assumptions!$B$7),Assumptions!$B$7))</f>
        <v/>
      </c>
      <c r="H775" s="34" t="str">
        <f aca="false">IF(OR(F775="",G775=""),"",F775*G775)</f>
        <v/>
      </c>
      <c r="I775" s="32"/>
      <c r="J775" s="32"/>
      <c r="K775" s="37"/>
      <c r="L775" s="38" t="str">
        <f aca="false">IF(C775="","",DATE(YEAR(C775),MONTH(C775),1))</f>
        <v/>
      </c>
      <c r="M775" s="34" t="str">
        <f aca="false">IF(F775="","",N(H775)+N(I775)-N(J775))</f>
        <v/>
      </c>
      <c r="N775" s="29"/>
    </row>
    <row r="776" customFormat="false" ht="15" hidden="false" customHeight="false" outlineLevel="0" collapsed="false">
      <c r="A776" s="29"/>
      <c r="B776" s="29"/>
      <c r="C776" s="31"/>
      <c r="D776" s="31"/>
      <c r="E776" s="35" t="str">
        <f aca="false">IF(OR(C776="",D776=""),"",MAX(1,D776-C776))</f>
        <v/>
      </c>
      <c r="F776" s="32"/>
      <c r="G776" s="36" t="str">
        <f aca="false">IF(B776="","",IFERROR(IF(N(INDEX(Fleet!$N$5:$N$79,MATCH(B776,Fleet!$A$5:$A$79,0)))&gt;0,INDEX(Fleet!$N$5:$N$79,MATCH(B776,Fleet!$A$5:$A$79,0)),Assumptions!$B$7),Assumptions!$B$7))</f>
        <v/>
      </c>
      <c r="H776" s="34" t="str">
        <f aca="false">IF(OR(F776="",G776=""),"",F776*G776)</f>
        <v/>
      </c>
      <c r="I776" s="32"/>
      <c r="J776" s="32"/>
      <c r="K776" s="37"/>
      <c r="L776" s="38" t="str">
        <f aca="false">IF(C776="","",DATE(YEAR(C776),MONTH(C776),1))</f>
        <v/>
      </c>
      <c r="M776" s="34" t="str">
        <f aca="false">IF(F776="","",N(H776)+N(I776)-N(J776))</f>
        <v/>
      </c>
      <c r="N776" s="29"/>
    </row>
    <row r="777" customFormat="false" ht="15" hidden="false" customHeight="false" outlineLevel="0" collapsed="false">
      <c r="A777" s="29"/>
      <c r="B777" s="29"/>
      <c r="C777" s="31"/>
      <c r="D777" s="31"/>
      <c r="E777" s="35" t="str">
        <f aca="false">IF(OR(C777="",D777=""),"",MAX(1,D777-C777))</f>
        <v/>
      </c>
      <c r="F777" s="32"/>
      <c r="G777" s="36" t="str">
        <f aca="false">IF(B777="","",IFERROR(IF(N(INDEX(Fleet!$N$5:$N$79,MATCH(B777,Fleet!$A$5:$A$79,0)))&gt;0,INDEX(Fleet!$N$5:$N$79,MATCH(B777,Fleet!$A$5:$A$79,0)),Assumptions!$B$7),Assumptions!$B$7))</f>
        <v/>
      </c>
      <c r="H777" s="34" t="str">
        <f aca="false">IF(OR(F777="",G777=""),"",F777*G777)</f>
        <v/>
      </c>
      <c r="I777" s="32"/>
      <c r="J777" s="32"/>
      <c r="K777" s="37"/>
      <c r="L777" s="38" t="str">
        <f aca="false">IF(C777="","",DATE(YEAR(C777),MONTH(C777),1))</f>
        <v/>
      </c>
      <c r="M777" s="34" t="str">
        <f aca="false">IF(F777="","",N(H777)+N(I777)-N(J777))</f>
        <v/>
      </c>
      <c r="N777" s="29"/>
    </row>
    <row r="778" customFormat="false" ht="15" hidden="false" customHeight="false" outlineLevel="0" collapsed="false">
      <c r="A778" s="29"/>
      <c r="B778" s="29"/>
      <c r="C778" s="31"/>
      <c r="D778" s="31"/>
      <c r="E778" s="35" t="str">
        <f aca="false">IF(OR(C778="",D778=""),"",MAX(1,D778-C778))</f>
        <v/>
      </c>
      <c r="F778" s="32"/>
      <c r="G778" s="36" t="str">
        <f aca="false">IF(B778="","",IFERROR(IF(N(INDEX(Fleet!$N$5:$N$79,MATCH(B778,Fleet!$A$5:$A$79,0)))&gt;0,INDEX(Fleet!$N$5:$N$79,MATCH(B778,Fleet!$A$5:$A$79,0)),Assumptions!$B$7),Assumptions!$B$7))</f>
        <v/>
      </c>
      <c r="H778" s="34" t="str">
        <f aca="false">IF(OR(F778="",G778=""),"",F778*G778)</f>
        <v/>
      </c>
      <c r="I778" s="32"/>
      <c r="J778" s="32"/>
      <c r="K778" s="37"/>
      <c r="L778" s="38" t="str">
        <f aca="false">IF(C778="","",DATE(YEAR(C778),MONTH(C778),1))</f>
        <v/>
      </c>
      <c r="M778" s="34" t="str">
        <f aca="false">IF(F778="","",N(H778)+N(I778)-N(J778))</f>
        <v/>
      </c>
      <c r="N778" s="29"/>
    </row>
    <row r="779" customFormat="false" ht="15" hidden="false" customHeight="false" outlineLevel="0" collapsed="false">
      <c r="A779" s="29"/>
      <c r="B779" s="29"/>
      <c r="C779" s="31"/>
      <c r="D779" s="31"/>
      <c r="E779" s="35" t="str">
        <f aca="false">IF(OR(C779="",D779=""),"",MAX(1,D779-C779))</f>
        <v/>
      </c>
      <c r="F779" s="32"/>
      <c r="G779" s="36" t="str">
        <f aca="false">IF(B779="","",IFERROR(IF(N(INDEX(Fleet!$N$5:$N$79,MATCH(B779,Fleet!$A$5:$A$79,0)))&gt;0,INDEX(Fleet!$N$5:$N$79,MATCH(B779,Fleet!$A$5:$A$79,0)),Assumptions!$B$7),Assumptions!$B$7))</f>
        <v/>
      </c>
      <c r="H779" s="34" t="str">
        <f aca="false">IF(OR(F779="",G779=""),"",F779*G779)</f>
        <v/>
      </c>
      <c r="I779" s="32"/>
      <c r="J779" s="32"/>
      <c r="K779" s="37"/>
      <c r="L779" s="38" t="str">
        <f aca="false">IF(C779="","",DATE(YEAR(C779),MONTH(C779),1))</f>
        <v/>
      </c>
      <c r="M779" s="34" t="str">
        <f aca="false">IF(F779="","",N(H779)+N(I779)-N(J779))</f>
        <v/>
      </c>
      <c r="N779" s="29"/>
    </row>
    <row r="780" customFormat="false" ht="15" hidden="false" customHeight="false" outlineLevel="0" collapsed="false">
      <c r="A780" s="29"/>
      <c r="B780" s="29"/>
      <c r="C780" s="31"/>
      <c r="D780" s="31"/>
      <c r="E780" s="35" t="str">
        <f aca="false">IF(OR(C780="",D780=""),"",MAX(1,D780-C780))</f>
        <v/>
      </c>
      <c r="F780" s="32"/>
      <c r="G780" s="36" t="str">
        <f aca="false">IF(B780="","",IFERROR(IF(N(INDEX(Fleet!$N$5:$N$79,MATCH(B780,Fleet!$A$5:$A$79,0)))&gt;0,INDEX(Fleet!$N$5:$N$79,MATCH(B780,Fleet!$A$5:$A$79,0)),Assumptions!$B$7),Assumptions!$B$7))</f>
        <v/>
      </c>
      <c r="H780" s="34" t="str">
        <f aca="false">IF(OR(F780="",G780=""),"",F780*G780)</f>
        <v/>
      </c>
      <c r="I780" s="32"/>
      <c r="J780" s="32"/>
      <c r="K780" s="37"/>
      <c r="L780" s="38" t="str">
        <f aca="false">IF(C780="","",DATE(YEAR(C780),MONTH(C780),1))</f>
        <v/>
      </c>
      <c r="M780" s="34" t="str">
        <f aca="false">IF(F780="","",N(H780)+N(I780)-N(J780))</f>
        <v/>
      </c>
      <c r="N780" s="29"/>
    </row>
    <row r="781" customFormat="false" ht="15" hidden="false" customHeight="false" outlineLevel="0" collapsed="false">
      <c r="A781" s="29"/>
      <c r="B781" s="29"/>
      <c r="C781" s="31"/>
      <c r="D781" s="31"/>
      <c r="E781" s="35" t="str">
        <f aca="false">IF(OR(C781="",D781=""),"",MAX(1,D781-C781))</f>
        <v/>
      </c>
      <c r="F781" s="32"/>
      <c r="G781" s="36" t="str">
        <f aca="false">IF(B781="","",IFERROR(IF(N(INDEX(Fleet!$N$5:$N$79,MATCH(B781,Fleet!$A$5:$A$79,0)))&gt;0,INDEX(Fleet!$N$5:$N$79,MATCH(B781,Fleet!$A$5:$A$79,0)),Assumptions!$B$7),Assumptions!$B$7))</f>
        <v/>
      </c>
      <c r="H781" s="34" t="str">
        <f aca="false">IF(OR(F781="",G781=""),"",F781*G781)</f>
        <v/>
      </c>
      <c r="I781" s="32"/>
      <c r="J781" s="32"/>
      <c r="K781" s="37"/>
      <c r="L781" s="38" t="str">
        <f aca="false">IF(C781="","",DATE(YEAR(C781),MONTH(C781),1))</f>
        <v/>
      </c>
      <c r="M781" s="34" t="str">
        <f aca="false">IF(F781="","",N(H781)+N(I781)-N(J781))</f>
        <v/>
      </c>
      <c r="N781" s="29"/>
    </row>
    <row r="782" customFormat="false" ht="15" hidden="false" customHeight="false" outlineLevel="0" collapsed="false">
      <c r="A782" s="29"/>
      <c r="B782" s="29"/>
      <c r="C782" s="31"/>
      <c r="D782" s="31"/>
      <c r="E782" s="35" t="str">
        <f aca="false">IF(OR(C782="",D782=""),"",MAX(1,D782-C782))</f>
        <v/>
      </c>
      <c r="F782" s="32"/>
      <c r="G782" s="36" t="str">
        <f aca="false">IF(B782="","",IFERROR(IF(N(INDEX(Fleet!$N$5:$N$79,MATCH(B782,Fleet!$A$5:$A$79,0)))&gt;0,INDEX(Fleet!$N$5:$N$79,MATCH(B782,Fleet!$A$5:$A$79,0)),Assumptions!$B$7),Assumptions!$B$7))</f>
        <v/>
      </c>
      <c r="H782" s="34" t="str">
        <f aca="false">IF(OR(F782="",G782=""),"",F782*G782)</f>
        <v/>
      </c>
      <c r="I782" s="32"/>
      <c r="J782" s="32"/>
      <c r="K782" s="37"/>
      <c r="L782" s="38" t="str">
        <f aca="false">IF(C782="","",DATE(YEAR(C782),MONTH(C782),1))</f>
        <v/>
      </c>
      <c r="M782" s="34" t="str">
        <f aca="false">IF(F782="","",N(H782)+N(I782)-N(J782))</f>
        <v/>
      </c>
      <c r="N782" s="29"/>
    </row>
    <row r="783" customFormat="false" ht="15" hidden="false" customHeight="false" outlineLevel="0" collapsed="false">
      <c r="A783" s="29"/>
      <c r="B783" s="29"/>
      <c r="C783" s="31"/>
      <c r="D783" s="31"/>
      <c r="E783" s="35" t="str">
        <f aca="false">IF(OR(C783="",D783=""),"",MAX(1,D783-C783))</f>
        <v/>
      </c>
      <c r="F783" s="32"/>
      <c r="G783" s="36" t="str">
        <f aca="false">IF(B783="","",IFERROR(IF(N(INDEX(Fleet!$N$5:$N$79,MATCH(B783,Fleet!$A$5:$A$79,0)))&gt;0,INDEX(Fleet!$N$5:$N$79,MATCH(B783,Fleet!$A$5:$A$79,0)),Assumptions!$B$7),Assumptions!$B$7))</f>
        <v/>
      </c>
      <c r="H783" s="34" t="str">
        <f aca="false">IF(OR(F783="",G783=""),"",F783*G783)</f>
        <v/>
      </c>
      <c r="I783" s="32"/>
      <c r="J783" s="32"/>
      <c r="K783" s="37"/>
      <c r="L783" s="38" t="str">
        <f aca="false">IF(C783="","",DATE(YEAR(C783),MONTH(C783),1))</f>
        <v/>
      </c>
      <c r="M783" s="34" t="str">
        <f aca="false">IF(F783="","",N(H783)+N(I783)-N(J783))</f>
        <v/>
      </c>
      <c r="N783" s="29"/>
    </row>
    <row r="784" customFormat="false" ht="15" hidden="false" customHeight="false" outlineLevel="0" collapsed="false">
      <c r="A784" s="29"/>
      <c r="B784" s="29"/>
      <c r="C784" s="31"/>
      <c r="D784" s="31"/>
      <c r="E784" s="35" t="str">
        <f aca="false">IF(OR(C784="",D784=""),"",MAX(1,D784-C784))</f>
        <v/>
      </c>
      <c r="F784" s="32"/>
      <c r="G784" s="36" t="str">
        <f aca="false">IF(B784="","",IFERROR(IF(N(INDEX(Fleet!$N$5:$N$79,MATCH(B784,Fleet!$A$5:$A$79,0)))&gt;0,INDEX(Fleet!$N$5:$N$79,MATCH(B784,Fleet!$A$5:$A$79,0)),Assumptions!$B$7),Assumptions!$B$7))</f>
        <v/>
      </c>
      <c r="H784" s="34" t="str">
        <f aca="false">IF(OR(F784="",G784=""),"",F784*G784)</f>
        <v/>
      </c>
      <c r="I784" s="32"/>
      <c r="J784" s="32"/>
      <c r="K784" s="37"/>
      <c r="L784" s="38" t="str">
        <f aca="false">IF(C784="","",DATE(YEAR(C784),MONTH(C784),1))</f>
        <v/>
      </c>
      <c r="M784" s="34" t="str">
        <f aca="false">IF(F784="","",N(H784)+N(I784)-N(J784))</f>
        <v/>
      </c>
      <c r="N784" s="29"/>
    </row>
    <row r="785" customFormat="false" ht="15" hidden="false" customHeight="false" outlineLevel="0" collapsed="false">
      <c r="A785" s="29"/>
      <c r="B785" s="29"/>
      <c r="C785" s="31"/>
      <c r="D785" s="31"/>
      <c r="E785" s="35" t="str">
        <f aca="false">IF(OR(C785="",D785=""),"",MAX(1,D785-C785))</f>
        <v/>
      </c>
      <c r="F785" s="32"/>
      <c r="G785" s="36" t="str">
        <f aca="false">IF(B785="","",IFERROR(IF(N(INDEX(Fleet!$N$5:$N$79,MATCH(B785,Fleet!$A$5:$A$79,0)))&gt;0,INDEX(Fleet!$N$5:$N$79,MATCH(B785,Fleet!$A$5:$A$79,0)),Assumptions!$B$7),Assumptions!$B$7))</f>
        <v/>
      </c>
      <c r="H785" s="34" t="str">
        <f aca="false">IF(OR(F785="",G785=""),"",F785*G785)</f>
        <v/>
      </c>
      <c r="I785" s="32"/>
      <c r="J785" s="32"/>
      <c r="K785" s="37"/>
      <c r="L785" s="38" t="str">
        <f aca="false">IF(C785="","",DATE(YEAR(C785),MONTH(C785),1))</f>
        <v/>
      </c>
      <c r="M785" s="34" t="str">
        <f aca="false">IF(F785="","",N(H785)+N(I785)-N(J785))</f>
        <v/>
      </c>
      <c r="N785" s="29"/>
    </row>
    <row r="786" customFormat="false" ht="15" hidden="false" customHeight="false" outlineLevel="0" collapsed="false">
      <c r="A786" s="29"/>
      <c r="B786" s="29"/>
      <c r="C786" s="31"/>
      <c r="D786" s="31"/>
      <c r="E786" s="35" t="str">
        <f aca="false">IF(OR(C786="",D786=""),"",MAX(1,D786-C786))</f>
        <v/>
      </c>
      <c r="F786" s="32"/>
      <c r="G786" s="36" t="str">
        <f aca="false">IF(B786="","",IFERROR(IF(N(INDEX(Fleet!$N$5:$N$79,MATCH(B786,Fleet!$A$5:$A$79,0)))&gt;0,INDEX(Fleet!$N$5:$N$79,MATCH(B786,Fleet!$A$5:$A$79,0)),Assumptions!$B$7),Assumptions!$B$7))</f>
        <v/>
      </c>
      <c r="H786" s="34" t="str">
        <f aca="false">IF(OR(F786="",G786=""),"",F786*G786)</f>
        <v/>
      </c>
      <c r="I786" s="32"/>
      <c r="J786" s="32"/>
      <c r="K786" s="37"/>
      <c r="L786" s="38" t="str">
        <f aca="false">IF(C786="","",DATE(YEAR(C786),MONTH(C786),1))</f>
        <v/>
      </c>
      <c r="M786" s="34" t="str">
        <f aca="false">IF(F786="","",N(H786)+N(I786)-N(J786))</f>
        <v/>
      </c>
      <c r="N786" s="29"/>
    </row>
    <row r="787" customFormat="false" ht="15" hidden="false" customHeight="false" outlineLevel="0" collapsed="false">
      <c r="A787" s="29"/>
      <c r="B787" s="29"/>
      <c r="C787" s="31"/>
      <c r="D787" s="31"/>
      <c r="E787" s="35" t="str">
        <f aca="false">IF(OR(C787="",D787=""),"",MAX(1,D787-C787))</f>
        <v/>
      </c>
      <c r="F787" s="32"/>
      <c r="G787" s="36" t="str">
        <f aca="false">IF(B787="","",IFERROR(IF(N(INDEX(Fleet!$N$5:$N$79,MATCH(B787,Fleet!$A$5:$A$79,0)))&gt;0,INDEX(Fleet!$N$5:$N$79,MATCH(B787,Fleet!$A$5:$A$79,0)),Assumptions!$B$7),Assumptions!$B$7))</f>
        <v/>
      </c>
      <c r="H787" s="34" t="str">
        <f aca="false">IF(OR(F787="",G787=""),"",F787*G787)</f>
        <v/>
      </c>
      <c r="I787" s="32"/>
      <c r="J787" s="32"/>
      <c r="K787" s="37"/>
      <c r="L787" s="38" t="str">
        <f aca="false">IF(C787="","",DATE(YEAR(C787),MONTH(C787),1))</f>
        <v/>
      </c>
      <c r="M787" s="34" t="str">
        <f aca="false">IF(F787="","",N(H787)+N(I787)-N(J787))</f>
        <v/>
      </c>
      <c r="N787" s="29"/>
    </row>
    <row r="788" customFormat="false" ht="15" hidden="false" customHeight="false" outlineLevel="0" collapsed="false">
      <c r="A788" s="29"/>
      <c r="B788" s="29"/>
      <c r="C788" s="31"/>
      <c r="D788" s="31"/>
      <c r="E788" s="35" t="str">
        <f aca="false">IF(OR(C788="",D788=""),"",MAX(1,D788-C788))</f>
        <v/>
      </c>
      <c r="F788" s="32"/>
      <c r="G788" s="36" t="str">
        <f aca="false">IF(B788="","",IFERROR(IF(N(INDEX(Fleet!$N$5:$N$79,MATCH(B788,Fleet!$A$5:$A$79,0)))&gt;0,INDEX(Fleet!$N$5:$N$79,MATCH(B788,Fleet!$A$5:$A$79,0)),Assumptions!$B$7),Assumptions!$B$7))</f>
        <v/>
      </c>
      <c r="H788" s="34" t="str">
        <f aca="false">IF(OR(F788="",G788=""),"",F788*G788)</f>
        <v/>
      </c>
      <c r="I788" s="32"/>
      <c r="J788" s="32"/>
      <c r="K788" s="37"/>
      <c r="L788" s="38" t="str">
        <f aca="false">IF(C788="","",DATE(YEAR(C788),MONTH(C788),1))</f>
        <v/>
      </c>
      <c r="M788" s="34" t="str">
        <f aca="false">IF(F788="","",N(H788)+N(I788)-N(J788))</f>
        <v/>
      </c>
      <c r="N788" s="29"/>
    </row>
    <row r="789" customFormat="false" ht="15" hidden="false" customHeight="false" outlineLevel="0" collapsed="false">
      <c r="A789" s="29"/>
      <c r="B789" s="29"/>
      <c r="C789" s="31"/>
      <c r="D789" s="31"/>
      <c r="E789" s="35" t="str">
        <f aca="false">IF(OR(C789="",D789=""),"",MAX(1,D789-C789))</f>
        <v/>
      </c>
      <c r="F789" s="32"/>
      <c r="G789" s="36" t="str">
        <f aca="false">IF(B789="","",IFERROR(IF(N(INDEX(Fleet!$N$5:$N$79,MATCH(B789,Fleet!$A$5:$A$79,0)))&gt;0,INDEX(Fleet!$N$5:$N$79,MATCH(B789,Fleet!$A$5:$A$79,0)),Assumptions!$B$7),Assumptions!$B$7))</f>
        <v/>
      </c>
      <c r="H789" s="34" t="str">
        <f aca="false">IF(OR(F789="",G789=""),"",F789*G789)</f>
        <v/>
      </c>
      <c r="I789" s="32"/>
      <c r="J789" s="32"/>
      <c r="K789" s="37"/>
      <c r="L789" s="38" t="str">
        <f aca="false">IF(C789="","",DATE(YEAR(C789),MONTH(C789),1))</f>
        <v/>
      </c>
      <c r="M789" s="34" t="str">
        <f aca="false">IF(F789="","",N(H789)+N(I789)-N(J789))</f>
        <v/>
      </c>
      <c r="N789" s="29"/>
    </row>
    <row r="790" customFormat="false" ht="15" hidden="false" customHeight="false" outlineLevel="0" collapsed="false">
      <c r="A790" s="29"/>
      <c r="B790" s="29"/>
      <c r="C790" s="31"/>
      <c r="D790" s="31"/>
      <c r="E790" s="35" t="str">
        <f aca="false">IF(OR(C790="",D790=""),"",MAX(1,D790-C790))</f>
        <v/>
      </c>
      <c r="F790" s="32"/>
      <c r="G790" s="36" t="str">
        <f aca="false">IF(B790="","",IFERROR(IF(N(INDEX(Fleet!$N$5:$N$79,MATCH(B790,Fleet!$A$5:$A$79,0)))&gt;0,INDEX(Fleet!$N$5:$N$79,MATCH(B790,Fleet!$A$5:$A$79,0)),Assumptions!$B$7),Assumptions!$B$7))</f>
        <v/>
      </c>
      <c r="H790" s="34" t="str">
        <f aca="false">IF(OR(F790="",G790=""),"",F790*G790)</f>
        <v/>
      </c>
      <c r="I790" s="32"/>
      <c r="J790" s="32"/>
      <c r="K790" s="37"/>
      <c r="L790" s="38" t="str">
        <f aca="false">IF(C790="","",DATE(YEAR(C790),MONTH(C790),1))</f>
        <v/>
      </c>
      <c r="M790" s="34" t="str">
        <f aca="false">IF(F790="","",N(H790)+N(I790)-N(J790))</f>
        <v/>
      </c>
      <c r="N790" s="29"/>
    </row>
    <row r="791" customFormat="false" ht="15" hidden="false" customHeight="false" outlineLevel="0" collapsed="false">
      <c r="A791" s="29"/>
      <c r="B791" s="29"/>
      <c r="C791" s="31"/>
      <c r="D791" s="31"/>
      <c r="E791" s="35" t="str">
        <f aca="false">IF(OR(C791="",D791=""),"",MAX(1,D791-C791))</f>
        <v/>
      </c>
      <c r="F791" s="32"/>
      <c r="G791" s="36" t="str">
        <f aca="false">IF(B791="","",IFERROR(IF(N(INDEX(Fleet!$N$5:$N$79,MATCH(B791,Fleet!$A$5:$A$79,0)))&gt;0,INDEX(Fleet!$N$5:$N$79,MATCH(B791,Fleet!$A$5:$A$79,0)),Assumptions!$B$7),Assumptions!$B$7))</f>
        <v/>
      </c>
      <c r="H791" s="34" t="str">
        <f aca="false">IF(OR(F791="",G791=""),"",F791*G791)</f>
        <v/>
      </c>
      <c r="I791" s="32"/>
      <c r="J791" s="32"/>
      <c r="K791" s="37"/>
      <c r="L791" s="38" t="str">
        <f aca="false">IF(C791="","",DATE(YEAR(C791),MONTH(C791),1))</f>
        <v/>
      </c>
      <c r="M791" s="34" t="str">
        <f aca="false">IF(F791="","",N(H791)+N(I791)-N(J791))</f>
        <v/>
      </c>
      <c r="N791" s="29"/>
    </row>
    <row r="792" customFormat="false" ht="15" hidden="false" customHeight="false" outlineLevel="0" collapsed="false">
      <c r="A792" s="29"/>
      <c r="B792" s="29"/>
      <c r="C792" s="31"/>
      <c r="D792" s="31"/>
      <c r="E792" s="35" t="str">
        <f aca="false">IF(OR(C792="",D792=""),"",MAX(1,D792-C792))</f>
        <v/>
      </c>
      <c r="F792" s="32"/>
      <c r="G792" s="36" t="str">
        <f aca="false">IF(B792="","",IFERROR(IF(N(INDEX(Fleet!$N$5:$N$79,MATCH(B792,Fleet!$A$5:$A$79,0)))&gt;0,INDEX(Fleet!$N$5:$N$79,MATCH(B792,Fleet!$A$5:$A$79,0)),Assumptions!$B$7),Assumptions!$B$7))</f>
        <v/>
      </c>
      <c r="H792" s="34" t="str">
        <f aca="false">IF(OR(F792="",G792=""),"",F792*G792)</f>
        <v/>
      </c>
      <c r="I792" s="32"/>
      <c r="J792" s="32"/>
      <c r="K792" s="37"/>
      <c r="L792" s="38" t="str">
        <f aca="false">IF(C792="","",DATE(YEAR(C792),MONTH(C792),1))</f>
        <v/>
      </c>
      <c r="M792" s="34" t="str">
        <f aca="false">IF(F792="","",N(H792)+N(I792)-N(J792))</f>
        <v/>
      </c>
      <c r="N792" s="29"/>
    </row>
    <row r="793" customFormat="false" ht="15" hidden="false" customHeight="false" outlineLevel="0" collapsed="false">
      <c r="A793" s="29"/>
      <c r="B793" s="29"/>
      <c r="C793" s="31"/>
      <c r="D793" s="31"/>
      <c r="E793" s="35" t="str">
        <f aca="false">IF(OR(C793="",D793=""),"",MAX(1,D793-C793))</f>
        <v/>
      </c>
      <c r="F793" s="32"/>
      <c r="G793" s="36" t="str">
        <f aca="false">IF(B793="","",IFERROR(IF(N(INDEX(Fleet!$N$5:$N$79,MATCH(B793,Fleet!$A$5:$A$79,0)))&gt;0,INDEX(Fleet!$N$5:$N$79,MATCH(B793,Fleet!$A$5:$A$79,0)),Assumptions!$B$7),Assumptions!$B$7))</f>
        <v/>
      </c>
      <c r="H793" s="34" t="str">
        <f aca="false">IF(OR(F793="",G793=""),"",F793*G793)</f>
        <v/>
      </c>
      <c r="I793" s="32"/>
      <c r="J793" s="32"/>
      <c r="K793" s="37"/>
      <c r="L793" s="38" t="str">
        <f aca="false">IF(C793="","",DATE(YEAR(C793),MONTH(C793),1))</f>
        <v/>
      </c>
      <c r="M793" s="34" t="str">
        <f aca="false">IF(F793="","",N(H793)+N(I793)-N(J793))</f>
        <v/>
      </c>
      <c r="N793" s="29"/>
    </row>
    <row r="794" customFormat="false" ht="15" hidden="false" customHeight="false" outlineLevel="0" collapsed="false">
      <c r="A794" s="29"/>
      <c r="B794" s="29"/>
      <c r="C794" s="31"/>
      <c r="D794" s="31"/>
      <c r="E794" s="35" t="str">
        <f aca="false">IF(OR(C794="",D794=""),"",MAX(1,D794-C794))</f>
        <v/>
      </c>
      <c r="F794" s="32"/>
      <c r="G794" s="36" t="str">
        <f aca="false">IF(B794="","",IFERROR(IF(N(INDEX(Fleet!$N$5:$N$79,MATCH(B794,Fleet!$A$5:$A$79,0)))&gt;0,INDEX(Fleet!$N$5:$N$79,MATCH(B794,Fleet!$A$5:$A$79,0)),Assumptions!$B$7),Assumptions!$B$7))</f>
        <v/>
      </c>
      <c r="H794" s="34" t="str">
        <f aca="false">IF(OR(F794="",G794=""),"",F794*G794)</f>
        <v/>
      </c>
      <c r="I794" s="32"/>
      <c r="J794" s="32"/>
      <c r="K794" s="37"/>
      <c r="L794" s="38" t="str">
        <f aca="false">IF(C794="","",DATE(YEAR(C794),MONTH(C794),1))</f>
        <v/>
      </c>
      <c r="M794" s="34" t="str">
        <f aca="false">IF(F794="","",N(H794)+N(I794)-N(J794))</f>
        <v/>
      </c>
      <c r="N794" s="29"/>
    </row>
    <row r="795" customFormat="false" ht="15" hidden="false" customHeight="false" outlineLevel="0" collapsed="false">
      <c r="A795" s="29"/>
      <c r="B795" s="29"/>
      <c r="C795" s="31"/>
      <c r="D795" s="31"/>
      <c r="E795" s="35" t="str">
        <f aca="false">IF(OR(C795="",D795=""),"",MAX(1,D795-C795))</f>
        <v/>
      </c>
      <c r="F795" s="32"/>
      <c r="G795" s="36" t="str">
        <f aca="false">IF(B795="","",IFERROR(IF(N(INDEX(Fleet!$N$5:$N$79,MATCH(B795,Fleet!$A$5:$A$79,0)))&gt;0,INDEX(Fleet!$N$5:$N$79,MATCH(B795,Fleet!$A$5:$A$79,0)),Assumptions!$B$7),Assumptions!$B$7))</f>
        <v/>
      </c>
      <c r="H795" s="34" t="str">
        <f aca="false">IF(OR(F795="",G795=""),"",F795*G795)</f>
        <v/>
      </c>
      <c r="I795" s="32"/>
      <c r="J795" s="32"/>
      <c r="K795" s="37"/>
      <c r="L795" s="38" t="str">
        <f aca="false">IF(C795="","",DATE(YEAR(C795),MONTH(C795),1))</f>
        <v/>
      </c>
      <c r="M795" s="34" t="str">
        <f aca="false">IF(F795="","",N(H795)+N(I795)-N(J795))</f>
        <v/>
      </c>
      <c r="N795" s="29"/>
    </row>
    <row r="796" customFormat="false" ht="15" hidden="false" customHeight="false" outlineLevel="0" collapsed="false">
      <c r="A796" s="29"/>
      <c r="B796" s="29"/>
      <c r="C796" s="31"/>
      <c r="D796" s="31"/>
      <c r="E796" s="35" t="str">
        <f aca="false">IF(OR(C796="",D796=""),"",MAX(1,D796-C796))</f>
        <v/>
      </c>
      <c r="F796" s="32"/>
      <c r="G796" s="36" t="str">
        <f aca="false">IF(B796="","",IFERROR(IF(N(INDEX(Fleet!$N$5:$N$79,MATCH(B796,Fleet!$A$5:$A$79,0)))&gt;0,INDEX(Fleet!$N$5:$N$79,MATCH(B796,Fleet!$A$5:$A$79,0)),Assumptions!$B$7),Assumptions!$B$7))</f>
        <v/>
      </c>
      <c r="H796" s="34" t="str">
        <f aca="false">IF(OR(F796="",G796=""),"",F796*G796)</f>
        <v/>
      </c>
      <c r="I796" s="32"/>
      <c r="J796" s="32"/>
      <c r="K796" s="37"/>
      <c r="L796" s="38" t="str">
        <f aca="false">IF(C796="","",DATE(YEAR(C796),MONTH(C796),1))</f>
        <v/>
      </c>
      <c r="M796" s="34" t="str">
        <f aca="false">IF(F796="","",N(H796)+N(I796)-N(J796))</f>
        <v/>
      </c>
      <c r="N796" s="29"/>
    </row>
    <row r="797" customFormat="false" ht="15" hidden="false" customHeight="false" outlineLevel="0" collapsed="false">
      <c r="A797" s="29"/>
      <c r="B797" s="29"/>
      <c r="C797" s="31"/>
      <c r="D797" s="31"/>
      <c r="E797" s="35" t="str">
        <f aca="false">IF(OR(C797="",D797=""),"",MAX(1,D797-C797))</f>
        <v/>
      </c>
      <c r="F797" s="32"/>
      <c r="G797" s="36" t="str">
        <f aca="false">IF(B797="","",IFERROR(IF(N(INDEX(Fleet!$N$5:$N$79,MATCH(B797,Fleet!$A$5:$A$79,0)))&gt;0,INDEX(Fleet!$N$5:$N$79,MATCH(B797,Fleet!$A$5:$A$79,0)),Assumptions!$B$7),Assumptions!$B$7))</f>
        <v/>
      </c>
      <c r="H797" s="34" t="str">
        <f aca="false">IF(OR(F797="",G797=""),"",F797*G797)</f>
        <v/>
      </c>
      <c r="I797" s="32"/>
      <c r="J797" s="32"/>
      <c r="K797" s="37"/>
      <c r="L797" s="38" t="str">
        <f aca="false">IF(C797="","",DATE(YEAR(C797),MONTH(C797),1))</f>
        <v/>
      </c>
      <c r="M797" s="34" t="str">
        <f aca="false">IF(F797="","",N(H797)+N(I797)-N(J797))</f>
        <v/>
      </c>
      <c r="N797" s="29"/>
    </row>
    <row r="798" customFormat="false" ht="15" hidden="false" customHeight="false" outlineLevel="0" collapsed="false">
      <c r="A798" s="29"/>
      <c r="B798" s="29"/>
      <c r="C798" s="31"/>
      <c r="D798" s="31"/>
      <c r="E798" s="35" t="str">
        <f aca="false">IF(OR(C798="",D798=""),"",MAX(1,D798-C798))</f>
        <v/>
      </c>
      <c r="F798" s="32"/>
      <c r="G798" s="36" t="str">
        <f aca="false">IF(B798="","",IFERROR(IF(N(INDEX(Fleet!$N$5:$N$79,MATCH(B798,Fleet!$A$5:$A$79,0)))&gt;0,INDEX(Fleet!$N$5:$N$79,MATCH(B798,Fleet!$A$5:$A$79,0)),Assumptions!$B$7),Assumptions!$B$7))</f>
        <v/>
      </c>
      <c r="H798" s="34" t="str">
        <f aca="false">IF(OR(F798="",G798=""),"",F798*G798)</f>
        <v/>
      </c>
      <c r="I798" s="32"/>
      <c r="J798" s="32"/>
      <c r="K798" s="37"/>
      <c r="L798" s="38" t="str">
        <f aca="false">IF(C798="","",DATE(YEAR(C798),MONTH(C798),1))</f>
        <v/>
      </c>
      <c r="M798" s="34" t="str">
        <f aca="false">IF(F798="","",N(H798)+N(I798)-N(J798))</f>
        <v/>
      </c>
      <c r="N798" s="29"/>
    </row>
    <row r="799" customFormat="false" ht="15" hidden="false" customHeight="false" outlineLevel="0" collapsed="false">
      <c r="A799" s="29"/>
      <c r="B799" s="29"/>
      <c r="C799" s="31"/>
      <c r="D799" s="31"/>
      <c r="E799" s="35" t="str">
        <f aca="false">IF(OR(C799="",D799=""),"",MAX(1,D799-C799))</f>
        <v/>
      </c>
      <c r="F799" s="32"/>
      <c r="G799" s="36" t="str">
        <f aca="false">IF(B799="","",IFERROR(IF(N(INDEX(Fleet!$N$5:$N$79,MATCH(B799,Fleet!$A$5:$A$79,0)))&gt;0,INDEX(Fleet!$N$5:$N$79,MATCH(B799,Fleet!$A$5:$A$79,0)),Assumptions!$B$7),Assumptions!$B$7))</f>
        <v/>
      </c>
      <c r="H799" s="34" t="str">
        <f aca="false">IF(OR(F799="",G799=""),"",F799*G799)</f>
        <v/>
      </c>
      <c r="I799" s="32"/>
      <c r="J799" s="32"/>
      <c r="K799" s="37"/>
      <c r="L799" s="38" t="str">
        <f aca="false">IF(C799="","",DATE(YEAR(C799),MONTH(C799),1))</f>
        <v/>
      </c>
      <c r="M799" s="34" t="str">
        <f aca="false">IF(F799="","",N(H799)+N(I799)-N(J799))</f>
        <v/>
      </c>
      <c r="N799" s="29"/>
    </row>
    <row r="800" customFormat="false" ht="15" hidden="false" customHeight="false" outlineLevel="0" collapsed="false">
      <c r="A800" s="29"/>
      <c r="B800" s="29"/>
      <c r="C800" s="31"/>
      <c r="D800" s="31"/>
      <c r="E800" s="35" t="str">
        <f aca="false">IF(OR(C800="",D800=""),"",MAX(1,D800-C800))</f>
        <v/>
      </c>
      <c r="F800" s="32"/>
      <c r="G800" s="36" t="str">
        <f aca="false">IF(B800="","",IFERROR(IF(N(INDEX(Fleet!$N$5:$N$79,MATCH(B800,Fleet!$A$5:$A$79,0)))&gt;0,INDEX(Fleet!$N$5:$N$79,MATCH(B800,Fleet!$A$5:$A$79,0)),Assumptions!$B$7),Assumptions!$B$7))</f>
        <v/>
      </c>
      <c r="H800" s="34" t="str">
        <f aca="false">IF(OR(F800="",G800=""),"",F800*G800)</f>
        <v/>
      </c>
      <c r="I800" s="32"/>
      <c r="J800" s="32"/>
      <c r="K800" s="37"/>
      <c r="L800" s="38" t="str">
        <f aca="false">IF(C800="","",DATE(YEAR(C800),MONTH(C800),1))</f>
        <v/>
      </c>
      <c r="M800" s="34" t="str">
        <f aca="false">IF(F800="","",N(H800)+N(I800)-N(J800))</f>
        <v/>
      </c>
      <c r="N800" s="29"/>
    </row>
    <row r="801" customFormat="false" ht="15" hidden="false" customHeight="false" outlineLevel="0" collapsed="false">
      <c r="A801" s="29"/>
      <c r="B801" s="29"/>
      <c r="C801" s="31"/>
      <c r="D801" s="31"/>
      <c r="E801" s="35" t="str">
        <f aca="false">IF(OR(C801="",D801=""),"",MAX(1,D801-C801))</f>
        <v/>
      </c>
      <c r="F801" s="32"/>
      <c r="G801" s="36" t="str">
        <f aca="false">IF(B801="","",IFERROR(IF(N(INDEX(Fleet!$N$5:$N$79,MATCH(B801,Fleet!$A$5:$A$79,0)))&gt;0,INDEX(Fleet!$N$5:$N$79,MATCH(B801,Fleet!$A$5:$A$79,0)),Assumptions!$B$7),Assumptions!$B$7))</f>
        <v/>
      </c>
      <c r="H801" s="34" t="str">
        <f aca="false">IF(OR(F801="",G801=""),"",F801*G801)</f>
        <v/>
      </c>
      <c r="I801" s="32"/>
      <c r="J801" s="32"/>
      <c r="K801" s="37"/>
      <c r="L801" s="38" t="str">
        <f aca="false">IF(C801="","",DATE(YEAR(C801),MONTH(C801),1))</f>
        <v/>
      </c>
      <c r="M801" s="34" t="str">
        <f aca="false">IF(F801="","",N(H801)+N(I801)-N(J801))</f>
        <v/>
      </c>
      <c r="N801" s="29"/>
    </row>
    <row r="802" customFormat="false" ht="15" hidden="false" customHeight="false" outlineLevel="0" collapsed="false">
      <c r="A802" s="29"/>
      <c r="B802" s="29"/>
      <c r="C802" s="31"/>
      <c r="D802" s="31"/>
      <c r="E802" s="35" t="str">
        <f aca="false">IF(OR(C802="",D802=""),"",MAX(1,D802-C802))</f>
        <v/>
      </c>
      <c r="F802" s="32"/>
      <c r="G802" s="36" t="str">
        <f aca="false">IF(B802="","",IFERROR(IF(N(INDEX(Fleet!$N$5:$N$79,MATCH(B802,Fleet!$A$5:$A$79,0)))&gt;0,INDEX(Fleet!$N$5:$N$79,MATCH(B802,Fleet!$A$5:$A$79,0)),Assumptions!$B$7),Assumptions!$B$7))</f>
        <v/>
      </c>
      <c r="H802" s="34" t="str">
        <f aca="false">IF(OR(F802="",G802=""),"",F802*G802)</f>
        <v/>
      </c>
      <c r="I802" s="32"/>
      <c r="J802" s="32"/>
      <c r="K802" s="37"/>
      <c r="L802" s="38" t="str">
        <f aca="false">IF(C802="","",DATE(YEAR(C802),MONTH(C802),1))</f>
        <v/>
      </c>
      <c r="M802" s="34" t="str">
        <f aca="false">IF(F802="","",N(H802)+N(I802)-N(J802))</f>
        <v/>
      </c>
      <c r="N802" s="29"/>
    </row>
    <row r="803" customFormat="false" ht="15" hidden="false" customHeight="false" outlineLevel="0" collapsed="false">
      <c r="A803" s="29"/>
      <c r="B803" s="29"/>
      <c r="C803" s="31"/>
      <c r="D803" s="31"/>
      <c r="E803" s="35" t="str">
        <f aca="false">IF(OR(C803="",D803=""),"",MAX(1,D803-C803))</f>
        <v/>
      </c>
      <c r="F803" s="32"/>
      <c r="G803" s="36" t="str">
        <f aca="false">IF(B803="","",IFERROR(IF(N(INDEX(Fleet!$N$5:$N$79,MATCH(B803,Fleet!$A$5:$A$79,0)))&gt;0,INDEX(Fleet!$N$5:$N$79,MATCH(B803,Fleet!$A$5:$A$79,0)),Assumptions!$B$7),Assumptions!$B$7))</f>
        <v/>
      </c>
      <c r="H803" s="34" t="str">
        <f aca="false">IF(OR(F803="",G803=""),"",F803*G803)</f>
        <v/>
      </c>
      <c r="I803" s="32"/>
      <c r="J803" s="32"/>
      <c r="K803" s="37"/>
      <c r="L803" s="38" t="str">
        <f aca="false">IF(C803="","",DATE(YEAR(C803),MONTH(C803),1))</f>
        <v/>
      </c>
      <c r="M803" s="34" t="str">
        <f aca="false">IF(F803="","",N(H803)+N(I803)-N(J803))</f>
        <v/>
      </c>
      <c r="N803" s="29"/>
    </row>
    <row r="804" customFormat="false" ht="15" hidden="false" customHeight="false" outlineLevel="0" collapsed="false">
      <c r="A804" s="29"/>
      <c r="B804" s="29"/>
      <c r="C804" s="31"/>
      <c r="D804" s="31"/>
      <c r="E804" s="35" t="str">
        <f aca="false">IF(OR(C804="",D804=""),"",MAX(1,D804-C804))</f>
        <v/>
      </c>
      <c r="F804" s="32"/>
      <c r="G804" s="36" t="str">
        <f aca="false">IF(B804="","",IFERROR(IF(N(INDEX(Fleet!$N$5:$N$79,MATCH(B804,Fleet!$A$5:$A$79,0)))&gt;0,INDEX(Fleet!$N$5:$N$79,MATCH(B804,Fleet!$A$5:$A$79,0)),Assumptions!$B$7),Assumptions!$B$7))</f>
        <v/>
      </c>
      <c r="H804" s="34" t="str">
        <f aca="false">IF(OR(F804="",G804=""),"",F804*G804)</f>
        <v/>
      </c>
      <c r="I804" s="32"/>
      <c r="J804" s="32"/>
      <c r="K804" s="37"/>
      <c r="L804" s="38" t="str">
        <f aca="false">IF(C804="","",DATE(YEAR(C804),MONTH(C804),1))</f>
        <v/>
      </c>
      <c r="M804" s="34" t="str">
        <f aca="false">IF(F804="","",N(H804)+N(I804)-N(J804))</f>
        <v/>
      </c>
      <c r="N804" s="29"/>
    </row>
    <row r="805" customFormat="false" ht="15" hidden="false" customHeight="false" outlineLevel="0" collapsed="false">
      <c r="A805" s="29"/>
      <c r="B805" s="29"/>
      <c r="C805" s="31"/>
      <c r="D805" s="31"/>
      <c r="E805" s="35" t="str">
        <f aca="false">IF(OR(C805="",D805=""),"",MAX(1,D805-C805))</f>
        <v/>
      </c>
      <c r="F805" s="32"/>
      <c r="G805" s="36" t="str">
        <f aca="false">IF(B805="","",IFERROR(IF(N(INDEX(Fleet!$N$5:$N$79,MATCH(B805,Fleet!$A$5:$A$79,0)))&gt;0,INDEX(Fleet!$N$5:$N$79,MATCH(B805,Fleet!$A$5:$A$79,0)),Assumptions!$B$7),Assumptions!$B$7))</f>
        <v/>
      </c>
      <c r="H805" s="34" t="str">
        <f aca="false">IF(OR(F805="",G805=""),"",F805*G805)</f>
        <v/>
      </c>
      <c r="I805" s="32"/>
      <c r="J805" s="32"/>
      <c r="K805" s="37"/>
      <c r="L805" s="38" t="str">
        <f aca="false">IF(C805="","",DATE(YEAR(C805),MONTH(C805),1))</f>
        <v/>
      </c>
      <c r="M805" s="34" t="str">
        <f aca="false">IF(F805="","",N(H805)+N(I805)-N(J805))</f>
        <v/>
      </c>
      <c r="N805" s="29"/>
    </row>
    <row r="806" customFormat="false" ht="15" hidden="false" customHeight="false" outlineLevel="0" collapsed="false">
      <c r="A806" s="29"/>
      <c r="B806" s="29"/>
      <c r="C806" s="31"/>
      <c r="D806" s="31"/>
      <c r="E806" s="35" t="str">
        <f aca="false">IF(OR(C806="",D806=""),"",MAX(1,D806-C806))</f>
        <v/>
      </c>
      <c r="F806" s="32"/>
      <c r="G806" s="36" t="str">
        <f aca="false">IF(B806="","",IFERROR(IF(N(INDEX(Fleet!$N$5:$N$79,MATCH(B806,Fleet!$A$5:$A$79,0)))&gt;0,INDEX(Fleet!$N$5:$N$79,MATCH(B806,Fleet!$A$5:$A$79,0)),Assumptions!$B$7),Assumptions!$B$7))</f>
        <v/>
      </c>
      <c r="H806" s="34" t="str">
        <f aca="false">IF(OR(F806="",G806=""),"",F806*G806)</f>
        <v/>
      </c>
      <c r="I806" s="32"/>
      <c r="J806" s="32"/>
      <c r="K806" s="37"/>
      <c r="L806" s="38" t="str">
        <f aca="false">IF(C806="","",DATE(YEAR(C806),MONTH(C806),1))</f>
        <v/>
      </c>
      <c r="M806" s="34" t="str">
        <f aca="false">IF(F806="","",N(H806)+N(I806)-N(J806))</f>
        <v/>
      </c>
      <c r="N806" s="29"/>
    </row>
    <row r="807" customFormat="false" ht="15" hidden="false" customHeight="false" outlineLevel="0" collapsed="false">
      <c r="A807" s="29"/>
      <c r="B807" s="29"/>
      <c r="C807" s="31"/>
      <c r="D807" s="31"/>
      <c r="E807" s="35" t="str">
        <f aca="false">IF(OR(C807="",D807=""),"",MAX(1,D807-C807))</f>
        <v/>
      </c>
      <c r="F807" s="32"/>
      <c r="G807" s="36" t="str">
        <f aca="false">IF(B807="","",IFERROR(IF(N(INDEX(Fleet!$N$5:$N$79,MATCH(B807,Fleet!$A$5:$A$79,0)))&gt;0,INDEX(Fleet!$N$5:$N$79,MATCH(B807,Fleet!$A$5:$A$79,0)),Assumptions!$B$7),Assumptions!$B$7))</f>
        <v/>
      </c>
      <c r="H807" s="34" t="str">
        <f aca="false">IF(OR(F807="",G807=""),"",F807*G807)</f>
        <v/>
      </c>
      <c r="I807" s="32"/>
      <c r="J807" s="32"/>
      <c r="K807" s="37"/>
      <c r="L807" s="38" t="str">
        <f aca="false">IF(C807="","",DATE(YEAR(C807),MONTH(C807),1))</f>
        <v/>
      </c>
      <c r="M807" s="34" t="str">
        <f aca="false">IF(F807="","",N(H807)+N(I807)-N(J807))</f>
        <v/>
      </c>
      <c r="N807" s="29"/>
    </row>
    <row r="808" customFormat="false" ht="15" hidden="false" customHeight="false" outlineLevel="0" collapsed="false">
      <c r="A808" s="29"/>
      <c r="B808" s="29"/>
      <c r="C808" s="31"/>
      <c r="D808" s="31"/>
      <c r="E808" s="35" t="str">
        <f aca="false">IF(OR(C808="",D808=""),"",MAX(1,D808-C808))</f>
        <v/>
      </c>
      <c r="F808" s="32"/>
      <c r="G808" s="36" t="str">
        <f aca="false">IF(B808="","",IFERROR(IF(N(INDEX(Fleet!$N$5:$N$79,MATCH(B808,Fleet!$A$5:$A$79,0)))&gt;0,INDEX(Fleet!$N$5:$N$79,MATCH(B808,Fleet!$A$5:$A$79,0)),Assumptions!$B$7),Assumptions!$B$7))</f>
        <v/>
      </c>
      <c r="H808" s="34" t="str">
        <f aca="false">IF(OR(F808="",G808=""),"",F808*G808)</f>
        <v/>
      </c>
      <c r="I808" s="32"/>
      <c r="J808" s="32"/>
      <c r="K808" s="37"/>
      <c r="L808" s="38" t="str">
        <f aca="false">IF(C808="","",DATE(YEAR(C808),MONTH(C808),1))</f>
        <v/>
      </c>
      <c r="M808" s="34" t="str">
        <f aca="false">IF(F808="","",N(H808)+N(I808)-N(J808))</f>
        <v/>
      </c>
      <c r="N808" s="29"/>
    </row>
    <row r="809" customFormat="false" ht="15" hidden="false" customHeight="false" outlineLevel="0" collapsed="false">
      <c r="A809" s="29"/>
      <c r="B809" s="29"/>
      <c r="C809" s="31"/>
      <c r="D809" s="31"/>
      <c r="E809" s="35" t="str">
        <f aca="false">IF(OR(C809="",D809=""),"",MAX(1,D809-C809))</f>
        <v/>
      </c>
      <c r="F809" s="32"/>
      <c r="G809" s="36" t="str">
        <f aca="false">IF(B809="","",IFERROR(IF(N(INDEX(Fleet!$N$5:$N$79,MATCH(B809,Fleet!$A$5:$A$79,0)))&gt;0,INDEX(Fleet!$N$5:$N$79,MATCH(B809,Fleet!$A$5:$A$79,0)),Assumptions!$B$7),Assumptions!$B$7))</f>
        <v/>
      </c>
      <c r="H809" s="34" t="str">
        <f aca="false">IF(OR(F809="",G809=""),"",F809*G809)</f>
        <v/>
      </c>
      <c r="I809" s="32"/>
      <c r="J809" s="32"/>
      <c r="K809" s="37"/>
      <c r="L809" s="38" t="str">
        <f aca="false">IF(C809="","",DATE(YEAR(C809),MONTH(C809),1))</f>
        <v/>
      </c>
      <c r="M809" s="34" t="str">
        <f aca="false">IF(F809="","",N(H809)+N(I809)-N(J809))</f>
        <v/>
      </c>
      <c r="N809" s="29"/>
    </row>
    <row r="810" customFormat="false" ht="15" hidden="false" customHeight="false" outlineLevel="0" collapsed="false">
      <c r="A810" s="29"/>
      <c r="B810" s="29"/>
      <c r="C810" s="31"/>
      <c r="D810" s="31"/>
      <c r="E810" s="35" t="str">
        <f aca="false">IF(OR(C810="",D810=""),"",MAX(1,D810-C810))</f>
        <v/>
      </c>
      <c r="F810" s="32"/>
      <c r="G810" s="36" t="str">
        <f aca="false">IF(B810="","",IFERROR(IF(N(INDEX(Fleet!$N$5:$N$79,MATCH(B810,Fleet!$A$5:$A$79,0)))&gt;0,INDEX(Fleet!$N$5:$N$79,MATCH(B810,Fleet!$A$5:$A$79,0)),Assumptions!$B$7),Assumptions!$B$7))</f>
        <v/>
      </c>
      <c r="H810" s="34" t="str">
        <f aca="false">IF(OR(F810="",G810=""),"",F810*G810)</f>
        <v/>
      </c>
      <c r="I810" s="32"/>
      <c r="J810" s="32"/>
      <c r="K810" s="37"/>
      <c r="L810" s="38" t="str">
        <f aca="false">IF(C810="","",DATE(YEAR(C810),MONTH(C810),1))</f>
        <v/>
      </c>
      <c r="M810" s="34" t="str">
        <f aca="false">IF(F810="","",N(H810)+N(I810)-N(J810))</f>
        <v/>
      </c>
      <c r="N810" s="29"/>
    </row>
    <row r="811" customFormat="false" ht="15" hidden="false" customHeight="false" outlineLevel="0" collapsed="false">
      <c r="A811" s="29"/>
      <c r="B811" s="29"/>
      <c r="C811" s="31"/>
      <c r="D811" s="31"/>
      <c r="E811" s="35" t="str">
        <f aca="false">IF(OR(C811="",D811=""),"",MAX(1,D811-C811))</f>
        <v/>
      </c>
      <c r="F811" s="32"/>
      <c r="G811" s="36" t="str">
        <f aca="false">IF(B811="","",IFERROR(IF(N(INDEX(Fleet!$N$5:$N$79,MATCH(B811,Fleet!$A$5:$A$79,0)))&gt;0,INDEX(Fleet!$N$5:$N$79,MATCH(B811,Fleet!$A$5:$A$79,0)),Assumptions!$B$7),Assumptions!$B$7))</f>
        <v/>
      </c>
      <c r="H811" s="34" t="str">
        <f aca="false">IF(OR(F811="",G811=""),"",F811*G811)</f>
        <v/>
      </c>
      <c r="I811" s="32"/>
      <c r="J811" s="32"/>
      <c r="K811" s="37"/>
      <c r="L811" s="38" t="str">
        <f aca="false">IF(C811="","",DATE(YEAR(C811),MONTH(C811),1))</f>
        <v/>
      </c>
      <c r="M811" s="34" t="str">
        <f aca="false">IF(F811="","",N(H811)+N(I811)-N(J811))</f>
        <v/>
      </c>
      <c r="N811" s="29"/>
    </row>
    <row r="812" customFormat="false" ht="15" hidden="false" customHeight="false" outlineLevel="0" collapsed="false">
      <c r="A812" s="29"/>
      <c r="B812" s="29"/>
      <c r="C812" s="31"/>
      <c r="D812" s="31"/>
      <c r="E812" s="35" t="str">
        <f aca="false">IF(OR(C812="",D812=""),"",MAX(1,D812-C812))</f>
        <v/>
      </c>
      <c r="F812" s="32"/>
      <c r="G812" s="36" t="str">
        <f aca="false">IF(B812="","",IFERROR(IF(N(INDEX(Fleet!$N$5:$N$79,MATCH(B812,Fleet!$A$5:$A$79,0)))&gt;0,INDEX(Fleet!$N$5:$N$79,MATCH(B812,Fleet!$A$5:$A$79,0)),Assumptions!$B$7),Assumptions!$B$7))</f>
        <v/>
      </c>
      <c r="H812" s="34" t="str">
        <f aca="false">IF(OR(F812="",G812=""),"",F812*G812)</f>
        <v/>
      </c>
      <c r="I812" s="32"/>
      <c r="J812" s="32"/>
      <c r="K812" s="37"/>
      <c r="L812" s="38" t="str">
        <f aca="false">IF(C812="","",DATE(YEAR(C812),MONTH(C812),1))</f>
        <v/>
      </c>
      <c r="M812" s="34" t="str">
        <f aca="false">IF(F812="","",N(H812)+N(I812)-N(J812))</f>
        <v/>
      </c>
      <c r="N812" s="29"/>
    </row>
    <row r="813" customFormat="false" ht="15" hidden="false" customHeight="false" outlineLevel="0" collapsed="false">
      <c r="A813" s="29"/>
      <c r="B813" s="29"/>
      <c r="C813" s="31"/>
      <c r="D813" s="31"/>
      <c r="E813" s="35" t="str">
        <f aca="false">IF(OR(C813="",D813=""),"",MAX(1,D813-C813))</f>
        <v/>
      </c>
      <c r="F813" s="32"/>
      <c r="G813" s="36" t="str">
        <f aca="false">IF(B813="","",IFERROR(IF(N(INDEX(Fleet!$N$5:$N$79,MATCH(B813,Fleet!$A$5:$A$79,0)))&gt;0,INDEX(Fleet!$N$5:$N$79,MATCH(B813,Fleet!$A$5:$A$79,0)),Assumptions!$B$7),Assumptions!$B$7))</f>
        <v/>
      </c>
      <c r="H813" s="34" t="str">
        <f aca="false">IF(OR(F813="",G813=""),"",F813*G813)</f>
        <v/>
      </c>
      <c r="I813" s="32"/>
      <c r="J813" s="32"/>
      <c r="K813" s="37"/>
      <c r="L813" s="38" t="str">
        <f aca="false">IF(C813="","",DATE(YEAR(C813),MONTH(C813),1))</f>
        <v/>
      </c>
      <c r="M813" s="34" t="str">
        <f aca="false">IF(F813="","",N(H813)+N(I813)-N(J813))</f>
        <v/>
      </c>
      <c r="N813" s="29"/>
    </row>
    <row r="814" customFormat="false" ht="15" hidden="false" customHeight="false" outlineLevel="0" collapsed="false">
      <c r="A814" s="29"/>
      <c r="B814" s="29"/>
      <c r="C814" s="31"/>
      <c r="D814" s="31"/>
      <c r="E814" s="35" t="str">
        <f aca="false">IF(OR(C814="",D814=""),"",MAX(1,D814-C814))</f>
        <v/>
      </c>
      <c r="F814" s="32"/>
      <c r="G814" s="36" t="str">
        <f aca="false">IF(B814="","",IFERROR(IF(N(INDEX(Fleet!$N$5:$N$79,MATCH(B814,Fleet!$A$5:$A$79,0)))&gt;0,INDEX(Fleet!$N$5:$N$79,MATCH(B814,Fleet!$A$5:$A$79,0)),Assumptions!$B$7),Assumptions!$B$7))</f>
        <v/>
      </c>
      <c r="H814" s="34" t="str">
        <f aca="false">IF(OR(F814="",G814=""),"",F814*G814)</f>
        <v/>
      </c>
      <c r="I814" s="32"/>
      <c r="J814" s="32"/>
      <c r="K814" s="37"/>
      <c r="L814" s="38" t="str">
        <f aca="false">IF(C814="","",DATE(YEAR(C814),MONTH(C814),1))</f>
        <v/>
      </c>
      <c r="M814" s="34" t="str">
        <f aca="false">IF(F814="","",N(H814)+N(I814)-N(J814))</f>
        <v/>
      </c>
      <c r="N814" s="29"/>
    </row>
    <row r="815" customFormat="false" ht="15" hidden="false" customHeight="false" outlineLevel="0" collapsed="false">
      <c r="A815" s="29"/>
      <c r="B815" s="29"/>
      <c r="C815" s="31"/>
      <c r="D815" s="31"/>
      <c r="E815" s="35" t="str">
        <f aca="false">IF(OR(C815="",D815=""),"",MAX(1,D815-C815))</f>
        <v/>
      </c>
      <c r="F815" s="32"/>
      <c r="G815" s="36" t="str">
        <f aca="false">IF(B815="","",IFERROR(IF(N(INDEX(Fleet!$N$5:$N$79,MATCH(B815,Fleet!$A$5:$A$79,0)))&gt;0,INDEX(Fleet!$N$5:$N$79,MATCH(B815,Fleet!$A$5:$A$79,0)),Assumptions!$B$7),Assumptions!$B$7))</f>
        <v/>
      </c>
      <c r="H815" s="34" t="str">
        <f aca="false">IF(OR(F815="",G815=""),"",F815*G815)</f>
        <v/>
      </c>
      <c r="I815" s="32"/>
      <c r="J815" s="32"/>
      <c r="K815" s="37"/>
      <c r="L815" s="38" t="str">
        <f aca="false">IF(C815="","",DATE(YEAR(C815),MONTH(C815),1))</f>
        <v/>
      </c>
      <c r="M815" s="34" t="str">
        <f aca="false">IF(F815="","",N(H815)+N(I815)-N(J815))</f>
        <v/>
      </c>
      <c r="N815" s="29"/>
    </row>
    <row r="816" customFormat="false" ht="15" hidden="false" customHeight="false" outlineLevel="0" collapsed="false">
      <c r="A816" s="29"/>
      <c r="B816" s="29"/>
      <c r="C816" s="31"/>
      <c r="D816" s="31"/>
      <c r="E816" s="35" t="str">
        <f aca="false">IF(OR(C816="",D816=""),"",MAX(1,D816-C816))</f>
        <v/>
      </c>
      <c r="F816" s="32"/>
      <c r="G816" s="36" t="str">
        <f aca="false">IF(B816="","",IFERROR(IF(N(INDEX(Fleet!$N$5:$N$79,MATCH(B816,Fleet!$A$5:$A$79,0)))&gt;0,INDEX(Fleet!$N$5:$N$79,MATCH(B816,Fleet!$A$5:$A$79,0)),Assumptions!$B$7),Assumptions!$B$7))</f>
        <v/>
      </c>
      <c r="H816" s="34" t="str">
        <f aca="false">IF(OR(F816="",G816=""),"",F816*G816)</f>
        <v/>
      </c>
      <c r="I816" s="32"/>
      <c r="J816" s="32"/>
      <c r="K816" s="37"/>
      <c r="L816" s="38" t="str">
        <f aca="false">IF(C816="","",DATE(YEAR(C816),MONTH(C816),1))</f>
        <v/>
      </c>
      <c r="M816" s="34" t="str">
        <f aca="false">IF(F816="","",N(H816)+N(I816)-N(J816))</f>
        <v/>
      </c>
      <c r="N816" s="29"/>
    </row>
    <row r="817" customFormat="false" ht="15" hidden="false" customHeight="false" outlineLevel="0" collapsed="false">
      <c r="A817" s="29"/>
      <c r="B817" s="29"/>
      <c r="C817" s="31"/>
      <c r="D817" s="31"/>
      <c r="E817" s="35" t="str">
        <f aca="false">IF(OR(C817="",D817=""),"",MAX(1,D817-C817))</f>
        <v/>
      </c>
      <c r="F817" s="32"/>
      <c r="G817" s="36" t="str">
        <f aca="false">IF(B817="","",IFERROR(IF(N(INDEX(Fleet!$N$5:$N$79,MATCH(B817,Fleet!$A$5:$A$79,0)))&gt;0,INDEX(Fleet!$N$5:$N$79,MATCH(B817,Fleet!$A$5:$A$79,0)),Assumptions!$B$7),Assumptions!$B$7))</f>
        <v/>
      </c>
      <c r="H817" s="34" t="str">
        <f aca="false">IF(OR(F817="",G817=""),"",F817*G817)</f>
        <v/>
      </c>
      <c r="I817" s="32"/>
      <c r="J817" s="32"/>
      <c r="K817" s="37"/>
      <c r="L817" s="38" t="str">
        <f aca="false">IF(C817="","",DATE(YEAR(C817),MONTH(C817),1))</f>
        <v/>
      </c>
      <c r="M817" s="34" t="str">
        <f aca="false">IF(F817="","",N(H817)+N(I817)-N(J817))</f>
        <v/>
      </c>
      <c r="N817" s="29"/>
    </row>
    <row r="818" customFormat="false" ht="15" hidden="false" customHeight="false" outlineLevel="0" collapsed="false">
      <c r="A818" s="29"/>
      <c r="B818" s="29"/>
      <c r="C818" s="31"/>
      <c r="D818" s="31"/>
      <c r="E818" s="35" t="str">
        <f aca="false">IF(OR(C818="",D818=""),"",MAX(1,D818-C818))</f>
        <v/>
      </c>
      <c r="F818" s="32"/>
      <c r="G818" s="36" t="str">
        <f aca="false">IF(B818="","",IFERROR(IF(N(INDEX(Fleet!$N$5:$N$79,MATCH(B818,Fleet!$A$5:$A$79,0)))&gt;0,INDEX(Fleet!$N$5:$N$79,MATCH(B818,Fleet!$A$5:$A$79,0)),Assumptions!$B$7),Assumptions!$B$7))</f>
        <v/>
      </c>
      <c r="H818" s="34" t="str">
        <f aca="false">IF(OR(F818="",G818=""),"",F818*G818)</f>
        <v/>
      </c>
      <c r="I818" s="32"/>
      <c r="J818" s="32"/>
      <c r="K818" s="37"/>
      <c r="L818" s="38" t="str">
        <f aca="false">IF(C818="","",DATE(YEAR(C818),MONTH(C818),1))</f>
        <v/>
      </c>
      <c r="M818" s="34" t="str">
        <f aca="false">IF(F818="","",N(H818)+N(I818)-N(J818))</f>
        <v/>
      </c>
      <c r="N818" s="29"/>
    </row>
    <row r="819" customFormat="false" ht="15" hidden="false" customHeight="false" outlineLevel="0" collapsed="false">
      <c r="A819" s="29"/>
      <c r="B819" s="29"/>
      <c r="C819" s="31"/>
      <c r="D819" s="31"/>
      <c r="E819" s="35" t="str">
        <f aca="false">IF(OR(C819="",D819=""),"",MAX(1,D819-C819))</f>
        <v/>
      </c>
      <c r="F819" s="32"/>
      <c r="G819" s="36" t="str">
        <f aca="false">IF(B819="","",IFERROR(IF(N(INDEX(Fleet!$N$5:$N$79,MATCH(B819,Fleet!$A$5:$A$79,0)))&gt;0,INDEX(Fleet!$N$5:$N$79,MATCH(B819,Fleet!$A$5:$A$79,0)),Assumptions!$B$7),Assumptions!$B$7))</f>
        <v/>
      </c>
      <c r="H819" s="34" t="str">
        <f aca="false">IF(OR(F819="",G819=""),"",F819*G819)</f>
        <v/>
      </c>
      <c r="I819" s="32"/>
      <c r="J819" s="32"/>
      <c r="K819" s="37"/>
      <c r="L819" s="38" t="str">
        <f aca="false">IF(C819="","",DATE(YEAR(C819),MONTH(C819),1))</f>
        <v/>
      </c>
      <c r="M819" s="34" t="str">
        <f aca="false">IF(F819="","",N(H819)+N(I819)-N(J819))</f>
        <v/>
      </c>
      <c r="N819" s="29"/>
    </row>
    <row r="820" customFormat="false" ht="15" hidden="false" customHeight="false" outlineLevel="0" collapsed="false">
      <c r="A820" s="29"/>
      <c r="B820" s="29"/>
      <c r="C820" s="31"/>
      <c r="D820" s="31"/>
      <c r="E820" s="35" t="str">
        <f aca="false">IF(OR(C820="",D820=""),"",MAX(1,D820-C820))</f>
        <v/>
      </c>
      <c r="F820" s="32"/>
      <c r="G820" s="36" t="str">
        <f aca="false">IF(B820="","",IFERROR(IF(N(INDEX(Fleet!$N$5:$N$79,MATCH(B820,Fleet!$A$5:$A$79,0)))&gt;0,INDEX(Fleet!$N$5:$N$79,MATCH(B820,Fleet!$A$5:$A$79,0)),Assumptions!$B$7),Assumptions!$B$7))</f>
        <v/>
      </c>
      <c r="H820" s="34" t="str">
        <f aca="false">IF(OR(F820="",G820=""),"",F820*G820)</f>
        <v/>
      </c>
      <c r="I820" s="32"/>
      <c r="J820" s="32"/>
      <c r="K820" s="37"/>
      <c r="L820" s="38" t="str">
        <f aca="false">IF(C820="","",DATE(YEAR(C820),MONTH(C820),1))</f>
        <v/>
      </c>
      <c r="M820" s="34" t="str">
        <f aca="false">IF(F820="","",N(H820)+N(I820)-N(J820))</f>
        <v/>
      </c>
      <c r="N820" s="29"/>
    </row>
    <row r="821" customFormat="false" ht="15" hidden="false" customHeight="false" outlineLevel="0" collapsed="false">
      <c r="A821" s="29"/>
      <c r="B821" s="29"/>
      <c r="C821" s="31"/>
      <c r="D821" s="31"/>
      <c r="E821" s="35" t="str">
        <f aca="false">IF(OR(C821="",D821=""),"",MAX(1,D821-C821))</f>
        <v/>
      </c>
      <c r="F821" s="32"/>
      <c r="G821" s="36" t="str">
        <f aca="false">IF(B821="","",IFERROR(IF(N(INDEX(Fleet!$N$5:$N$79,MATCH(B821,Fleet!$A$5:$A$79,0)))&gt;0,INDEX(Fleet!$N$5:$N$79,MATCH(B821,Fleet!$A$5:$A$79,0)),Assumptions!$B$7),Assumptions!$B$7))</f>
        <v/>
      </c>
      <c r="H821" s="34" t="str">
        <f aca="false">IF(OR(F821="",G821=""),"",F821*G821)</f>
        <v/>
      </c>
      <c r="I821" s="32"/>
      <c r="J821" s="32"/>
      <c r="K821" s="37"/>
      <c r="L821" s="38" t="str">
        <f aca="false">IF(C821="","",DATE(YEAR(C821),MONTH(C821),1))</f>
        <v/>
      </c>
      <c r="M821" s="34" t="str">
        <f aca="false">IF(F821="","",N(H821)+N(I821)-N(J821))</f>
        <v/>
      </c>
      <c r="N821" s="29"/>
    </row>
    <row r="822" customFormat="false" ht="15" hidden="false" customHeight="false" outlineLevel="0" collapsed="false">
      <c r="A822" s="29"/>
      <c r="B822" s="29"/>
      <c r="C822" s="31"/>
      <c r="D822" s="31"/>
      <c r="E822" s="35" t="str">
        <f aca="false">IF(OR(C822="",D822=""),"",MAX(1,D822-C822))</f>
        <v/>
      </c>
      <c r="F822" s="32"/>
      <c r="G822" s="36" t="str">
        <f aca="false">IF(B822="","",IFERROR(IF(N(INDEX(Fleet!$N$5:$N$79,MATCH(B822,Fleet!$A$5:$A$79,0)))&gt;0,INDEX(Fleet!$N$5:$N$79,MATCH(B822,Fleet!$A$5:$A$79,0)),Assumptions!$B$7),Assumptions!$B$7))</f>
        <v/>
      </c>
      <c r="H822" s="34" t="str">
        <f aca="false">IF(OR(F822="",G822=""),"",F822*G822)</f>
        <v/>
      </c>
      <c r="I822" s="32"/>
      <c r="J822" s="32"/>
      <c r="K822" s="37"/>
      <c r="L822" s="38" t="str">
        <f aca="false">IF(C822="","",DATE(YEAR(C822),MONTH(C822),1))</f>
        <v/>
      </c>
      <c r="M822" s="34" t="str">
        <f aca="false">IF(F822="","",N(H822)+N(I822)-N(J822))</f>
        <v/>
      </c>
      <c r="N822" s="29"/>
    </row>
    <row r="823" customFormat="false" ht="15" hidden="false" customHeight="false" outlineLevel="0" collapsed="false">
      <c r="A823" s="29"/>
      <c r="B823" s="29"/>
      <c r="C823" s="31"/>
      <c r="D823" s="31"/>
      <c r="E823" s="35" t="str">
        <f aca="false">IF(OR(C823="",D823=""),"",MAX(1,D823-C823))</f>
        <v/>
      </c>
      <c r="F823" s="32"/>
      <c r="G823" s="36" t="str">
        <f aca="false">IF(B823="","",IFERROR(IF(N(INDEX(Fleet!$N$5:$N$79,MATCH(B823,Fleet!$A$5:$A$79,0)))&gt;0,INDEX(Fleet!$N$5:$N$79,MATCH(B823,Fleet!$A$5:$A$79,0)),Assumptions!$B$7),Assumptions!$B$7))</f>
        <v/>
      </c>
      <c r="H823" s="34" t="str">
        <f aca="false">IF(OR(F823="",G823=""),"",F823*G823)</f>
        <v/>
      </c>
      <c r="I823" s="32"/>
      <c r="J823" s="32"/>
      <c r="K823" s="37"/>
      <c r="L823" s="38" t="str">
        <f aca="false">IF(C823="","",DATE(YEAR(C823),MONTH(C823),1))</f>
        <v/>
      </c>
      <c r="M823" s="34" t="str">
        <f aca="false">IF(F823="","",N(H823)+N(I823)-N(J823))</f>
        <v/>
      </c>
      <c r="N823" s="29"/>
    </row>
    <row r="824" customFormat="false" ht="15" hidden="false" customHeight="false" outlineLevel="0" collapsed="false">
      <c r="A824" s="29"/>
      <c r="B824" s="29"/>
      <c r="C824" s="31"/>
      <c r="D824" s="31"/>
      <c r="E824" s="35" t="str">
        <f aca="false">IF(OR(C824="",D824=""),"",MAX(1,D824-C824))</f>
        <v/>
      </c>
      <c r="F824" s="32"/>
      <c r="G824" s="36" t="str">
        <f aca="false">IF(B824="","",IFERROR(IF(N(INDEX(Fleet!$N$5:$N$79,MATCH(B824,Fleet!$A$5:$A$79,0)))&gt;0,INDEX(Fleet!$N$5:$N$79,MATCH(B824,Fleet!$A$5:$A$79,0)),Assumptions!$B$7),Assumptions!$B$7))</f>
        <v/>
      </c>
      <c r="H824" s="34" t="str">
        <f aca="false">IF(OR(F824="",G824=""),"",F824*G824)</f>
        <v/>
      </c>
      <c r="I824" s="32"/>
      <c r="J824" s="32"/>
      <c r="K824" s="37"/>
      <c r="L824" s="38" t="str">
        <f aca="false">IF(C824="","",DATE(YEAR(C824),MONTH(C824),1))</f>
        <v/>
      </c>
      <c r="M824" s="34" t="str">
        <f aca="false">IF(F824="","",N(H824)+N(I824)-N(J824))</f>
        <v/>
      </c>
      <c r="N824" s="29"/>
    </row>
    <row r="825" customFormat="false" ht="15" hidden="false" customHeight="false" outlineLevel="0" collapsed="false">
      <c r="A825" s="29"/>
      <c r="B825" s="29"/>
      <c r="C825" s="31"/>
      <c r="D825" s="31"/>
      <c r="E825" s="35" t="str">
        <f aca="false">IF(OR(C825="",D825=""),"",MAX(1,D825-C825))</f>
        <v/>
      </c>
      <c r="F825" s="32"/>
      <c r="G825" s="36" t="str">
        <f aca="false">IF(B825="","",IFERROR(IF(N(INDEX(Fleet!$N$5:$N$79,MATCH(B825,Fleet!$A$5:$A$79,0)))&gt;0,INDEX(Fleet!$N$5:$N$79,MATCH(B825,Fleet!$A$5:$A$79,0)),Assumptions!$B$7),Assumptions!$B$7))</f>
        <v/>
      </c>
      <c r="H825" s="34" t="str">
        <f aca="false">IF(OR(F825="",G825=""),"",F825*G825)</f>
        <v/>
      </c>
      <c r="I825" s="32"/>
      <c r="J825" s="32"/>
      <c r="K825" s="37"/>
      <c r="L825" s="38" t="str">
        <f aca="false">IF(C825="","",DATE(YEAR(C825),MONTH(C825),1))</f>
        <v/>
      </c>
      <c r="M825" s="34" t="str">
        <f aca="false">IF(F825="","",N(H825)+N(I825)-N(J825))</f>
        <v/>
      </c>
      <c r="N825" s="29"/>
    </row>
    <row r="826" customFormat="false" ht="15" hidden="false" customHeight="false" outlineLevel="0" collapsed="false">
      <c r="A826" s="29"/>
      <c r="B826" s="29"/>
      <c r="C826" s="31"/>
      <c r="D826" s="31"/>
      <c r="E826" s="35" t="str">
        <f aca="false">IF(OR(C826="",D826=""),"",MAX(1,D826-C826))</f>
        <v/>
      </c>
      <c r="F826" s="32"/>
      <c r="G826" s="36" t="str">
        <f aca="false">IF(B826="","",IFERROR(IF(N(INDEX(Fleet!$N$5:$N$79,MATCH(B826,Fleet!$A$5:$A$79,0)))&gt;0,INDEX(Fleet!$N$5:$N$79,MATCH(B826,Fleet!$A$5:$A$79,0)),Assumptions!$B$7),Assumptions!$B$7))</f>
        <v/>
      </c>
      <c r="H826" s="34" t="str">
        <f aca="false">IF(OR(F826="",G826=""),"",F826*G826)</f>
        <v/>
      </c>
      <c r="I826" s="32"/>
      <c r="J826" s="32"/>
      <c r="K826" s="37"/>
      <c r="L826" s="38" t="str">
        <f aca="false">IF(C826="","",DATE(YEAR(C826),MONTH(C826),1))</f>
        <v/>
      </c>
      <c r="M826" s="34" t="str">
        <f aca="false">IF(F826="","",N(H826)+N(I826)-N(J826))</f>
        <v/>
      </c>
      <c r="N826" s="29"/>
    </row>
    <row r="827" customFormat="false" ht="15" hidden="false" customHeight="false" outlineLevel="0" collapsed="false">
      <c r="A827" s="29"/>
      <c r="B827" s="29"/>
      <c r="C827" s="31"/>
      <c r="D827" s="31"/>
      <c r="E827" s="35" t="str">
        <f aca="false">IF(OR(C827="",D827=""),"",MAX(1,D827-C827))</f>
        <v/>
      </c>
      <c r="F827" s="32"/>
      <c r="G827" s="36" t="str">
        <f aca="false">IF(B827="","",IFERROR(IF(N(INDEX(Fleet!$N$5:$N$79,MATCH(B827,Fleet!$A$5:$A$79,0)))&gt;0,INDEX(Fleet!$N$5:$N$79,MATCH(B827,Fleet!$A$5:$A$79,0)),Assumptions!$B$7),Assumptions!$B$7))</f>
        <v/>
      </c>
      <c r="H827" s="34" t="str">
        <f aca="false">IF(OR(F827="",G827=""),"",F827*G827)</f>
        <v/>
      </c>
      <c r="I827" s="32"/>
      <c r="J827" s="32"/>
      <c r="K827" s="37"/>
      <c r="L827" s="38" t="str">
        <f aca="false">IF(C827="","",DATE(YEAR(C827),MONTH(C827),1))</f>
        <v/>
      </c>
      <c r="M827" s="34" t="str">
        <f aca="false">IF(F827="","",N(H827)+N(I827)-N(J827))</f>
        <v/>
      </c>
      <c r="N827" s="29"/>
    </row>
    <row r="828" customFormat="false" ht="15" hidden="false" customHeight="false" outlineLevel="0" collapsed="false">
      <c r="A828" s="29"/>
      <c r="B828" s="29"/>
      <c r="C828" s="31"/>
      <c r="D828" s="31"/>
      <c r="E828" s="35" t="str">
        <f aca="false">IF(OR(C828="",D828=""),"",MAX(1,D828-C828))</f>
        <v/>
      </c>
      <c r="F828" s="32"/>
      <c r="G828" s="36" t="str">
        <f aca="false">IF(B828="","",IFERROR(IF(N(INDEX(Fleet!$N$5:$N$79,MATCH(B828,Fleet!$A$5:$A$79,0)))&gt;0,INDEX(Fleet!$N$5:$N$79,MATCH(B828,Fleet!$A$5:$A$79,0)),Assumptions!$B$7),Assumptions!$B$7))</f>
        <v/>
      </c>
      <c r="H828" s="34" t="str">
        <f aca="false">IF(OR(F828="",G828=""),"",F828*G828)</f>
        <v/>
      </c>
      <c r="I828" s="32"/>
      <c r="J828" s="32"/>
      <c r="K828" s="37"/>
      <c r="L828" s="38" t="str">
        <f aca="false">IF(C828="","",DATE(YEAR(C828),MONTH(C828),1))</f>
        <v/>
      </c>
      <c r="M828" s="34" t="str">
        <f aca="false">IF(F828="","",N(H828)+N(I828)-N(J828))</f>
        <v/>
      </c>
      <c r="N828" s="29"/>
    </row>
    <row r="829" customFormat="false" ht="15" hidden="false" customHeight="false" outlineLevel="0" collapsed="false">
      <c r="A829" s="29"/>
      <c r="B829" s="29"/>
      <c r="C829" s="31"/>
      <c r="D829" s="31"/>
      <c r="E829" s="35" t="str">
        <f aca="false">IF(OR(C829="",D829=""),"",MAX(1,D829-C829))</f>
        <v/>
      </c>
      <c r="F829" s="32"/>
      <c r="G829" s="36" t="str">
        <f aca="false">IF(B829="","",IFERROR(IF(N(INDEX(Fleet!$N$5:$N$79,MATCH(B829,Fleet!$A$5:$A$79,0)))&gt;0,INDEX(Fleet!$N$5:$N$79,MATCH(B829,Fleet!$A$5:$A$79,0)),Assumptions!$B$7),Assumptions!$B$7))</f>
        <v/>
      </c>
      <c r="H829" s="34" t="str">
        <f aca="false">IF(OR(F829="",G829=""),"",F829*G829)</f>
        <v/>
      </c>
      <c r="I829" s="32"/>
      <c r="J829" s="32"/>
      <c r="K829" s="37"/>
      <c r="L829" s="38" t="str">
        <f aca="false">IF(C829="","",DATE(YEAR(C829),MONTH(C829),1))</f>
        <v/>
      </c>
      <c r="M829" s="34" t="str">
        <f aca="false">IF(F829="","",N(H829)+N(I829)-N(J829))</f>
        <v/>
      </c>
      <c r="N829" s="29"/>
    </row>
    <row r="830" customFormat="false" ht="15" hidden="false" customHeight="false" outlineLevel="0" collapsed="false">
      <c r="A830" s="29"/>
      <c r="B830" s="29"/>
      <c r="C830" s="31"/>
      <c r="D830" s="31"/>
      <c r="E830" s="35" t="str">
        <f aca="false">IF(OR(C830="",D830=""),"",MAX(1,D830-C830))</f>
        <v/>
      </c>
      <c r="F830" s="32"/>
      <c r="G830" s="36" t="str">
        <f aca="false">IF(B830="","",IFERROR(IF(N(INDEX(Fleet!$N$5:$N$79,MATCH(B830,Fleet!$A$5:$A$79,0)))&gt;0,INDEX(Fleet!$N$5:$N$79,MATCH(B830,Fleet!$A$5:$A$79,0)),Assumptions!$B$7),Assumptions!$B$7))</f>
        <v/>
      </c>
      <c r="H830" s="34" t="str">
        <f aca="false">IF(OR(F830="",G830=""),"",F830*G830)</f>
        <v/>
      </c>
      <c r="I830" s="32"/>
      <c r="J830" s="32"/>
      <c r="K830" s="37"/>
      <c r="L830" s="38" t="str">
        <f aca="false">IF(C830="","",DATE(YEAR(C830),MONTH(C830),1))</f>
        <v/>
      </c>
      <c r="M830" s="34" t="str">
        <f aca="false">IF(F830="","",N(H830)+N(I830)-N(J830))</f>
        <v/>
      </c>
      <c r="N830" s="29"/>
    </row>
    <row r="831" customFormat="false" ht="15" hidden="false" customHeight="false" outlineLevel="0" collapsed="false">
      <c r="A831" s="29"/>
      <c r="B831" s="29"/>
      <c r="C831" s="31"/>
      <c r="D831" s="31"/>
      <c r="E831" s="35" t="str">
        <f aca="false">IF(OR(C831="",D831=""),"",MAX(1,D831-C831))</f>
        <v/>
      </c>
      <c r="F831" s="32"/>
      <c r="G831" s="36" t="str">
        <f aca="false">IF(B831="","",IFERROR(IF(N(INDEX(Fleet!$N$5:$N$79,MATCH(B831,Fleet!$A$5:$A$79,0)))&gt;0,INDEX(Fleet!$N$5:$N$79,MATCH(B831,Fleet!$A$5:$A$79,0)),Assumptions!$B$7),Assumptions!$B$7))</f>
        <v/>
      </c>
      <c r="H831" s="34" t="str">
        <f aca="false">IF(OR(F831="",G831=""),"",F831*G831)</f>
        <v/>
      </c>
      <c r="I831" s="32"/>
      <c r="J831" s="32"/>
      <c r="K831" s="37"/>
      <c r="L831" s="38" t="str">
        <f aca="false">IF(C831="","",DATE(YEAR(C831),MONTH(C831),1))</f>
        <v/>
      </c>
      <c r="M831" s="34" t="str">
        <f aca="false">IF(F831="","",N(H831)+N(I831)-N(J831))</f>
        <v/>
      </c>
      <c r="N831" s="29"/>
    </row>
    <row r="832" customFormat="false" ht="15" hidden="false" customHeight="false" outlineLevel="0" collapsed="false">
      <c r="A832" s="29"/>
      <c r="B832" s="29"/>
      <c r="C832" s="31"/>
      <c r="D832" s="31"/>
      <c r="E832" s="35" t="str">
        <f aca="false">IF(OR(C832="",D832=""),"",MAX(1,D832-C832))</f>
        <v/>
      </c>
      <c r="F832" s="32"/>
      <c r="G832" s="36" t="str">
        <f aca="false">IF(B832="","",IFERROR(IF(N(INDEX(Fleet!$N$5:$N$79,MATCH(B832,Fleet!$A$5:$A$79,0)))&gt;0,INDEX(Fleet!$N$5:$N$79,MATCH(B832,Fleet!$A$5:$A$79,0)),Assumptions!$B$7),Assumptions!$B$7))</f>
        <v/>
      </c>
      <c r="H832" s="34" t="str">
        <f aca="false">IF(OR(F832="",G832=""),"",F832*G832)</f>
        <v/>
      </c>
      <c r="I832" s="32"/>
      <c r="J832" s="32"/>
      <c r="K832" s="37"/>
      <c r="L832" s="38" t="str">
        <f aca="false">IF(C832="","",DATE(YEAR(C832),MONTH(C832),1))</f>
        <v/>
      </c>
      <c r="M832" s="34" t="str">
        <f aca="false">IF(F832="","",N(H832)+N(I832)-N(J832))</f>
        <v/>
      </c>
      <c r="N832" s="29"/>
    </row>
    <row r="833" customFormat="false" ht="15" hidden="false" customHeight="false" outlineLevel="0" collapsed="false">
      <c r="A833" s="29"/>
      <c r="B833" s="29"/>
      <c r="C833" s="31"/>
      <c r="D833" s="31"/>
      <c r="E833" s="35" t="str">
        <f aca="false">IF(OR(C833="",D833=""),"",MAX(1,D833-C833))</f>
        <v/>
      </c>
      <c r="F833" s="32"/>
      <c r="G833" s="36" t="str">
        <f aca="false">IF(B833="","",IFERROR(IF(N(INDEX(Fleet!$N$5:$N$79,MATCH(B833,Fleet!$A$5:$A$79,0)))&gt;0,INDEX(Fleet!$N$5:$N$79,MATCH(B833,Fleet!$A$5:$A$79,0)),Assumptions!$B$7),Assumptions!$B$7))</f>
        <v/>
      </c>
      <c r="H833" s="34" t="str">
        <f aca="false">IF(OR(F833="",G833=""),"",F833*G833)</f>
        <v/>
      </c>
      <c r="I833" s="32"/>
      <c r="J833" s="32"/>
      <c r="K833" s="37"/>
      <c r="L833" s="38" t="str">
        <f aca="false">IF(C833="","",DATE(YEAR(C833),MONTH(C833),1))</f>
        <v/>
      </c>
      <c r="M833" s="34" t="str">
        <f aca="false">IF(F833="","",N(H833)+N(I833)-N(J833))</f>
        <v/>
      </c>
      <c r="N833" s="29"/>
    </row>
    <row r="834" customFormat="false" ht="15" hidden="false" customHeight="false" outlineLevel="0" collapsed="false">
      <c r="A834" s="29"/>
      <c r="B834" s="29"/>
      <c r="C834" s="31"/>
      <c r="D834" s="31"/>
      <c r="E834" s="35" t="str">
        <f aca="false">IF(OR(C834="",D834=""),"",MAX(1,D834-C834))</f>
        <v/>
      </c>
      <c r="F834" s="32"/>
      <c r="G834" s="36" t="str">
        <f aca="false">IF(B834="","",IFERROR(IF(N(INDEX(Fleet!$N$5:$N$79,MATCH(B834,Fleet!$A$5:$A$79,0)))&gt;0,INDEX(Fleet!$N$5:$N$79,MATCH(B834,Fleet!$A$5:$A$79,0)),Assumptions!$B$7),Assumptions!$B$7))</f>
        <v/>
      </c>
      <c r="H834" s="34" t="str">
        <f aca="false">IF(OR(F834="",G834=""),"",F834*G834)</f>
        <v/>
      </c>
      <c r="I834" s="32"/>
      <c r="J834" s="32"/>
      <c r="K834" s="37"/>
      <c r="L834" s="38" t="str">
        <f aca="false">IF(C834="","",DATE(YEAR(C834),MONTH(C834),1))</f>
        <v/>
      </c>
      <c r="M834" s="34" t="str">
        <f aca="false">IF(F834="","",N(H834)+N(I834)-N(J834))</f>
        <v/>
      </c>
      <c r="N834" s="29"/>
    </row>
    <row r="835" customFormat="false" ht="15" hidden="false" customHeight="false" outlineLevel="0" collapsed="false">
      <c r="A835" s="29"/>
      <c r="B835" s="29"/>
      <c r="C835" s="31"/>
      <c r="D835" s="31"/>
      <c r="E835" s="35" t="str">
        <f aca="false">IF(OR(C835="",D835=""),"",MAX(1,D835-C835))</f>
        <v/>
      </c>
      <c r="F835" s="32"/>
      <c r="G835" s="36" t="str">
        <f aca="false">IF(B835="","",IFERROR(IF(N(INDEX(Fleet!$N$5:$N$79,MATCH(B835,Fleet!$A$5:$A$79,0)))&gt;0,INDEX(Fleet!$N$5:$N$79,MATCH(B835,Fleet!$A$5:$A$79,0)),Assumptions!$B$7),Assumptions!$B$7))</f>
        <v/>
      </c>
      <c r="H835" s="34" t="str">
        <f aca="false">IF(OR(F835="",G835=""),"",F835*G835)</f>
        <v/>
      </c>
      <c r="I835" s="32"/>
      <c r="J835" s="32"/>
      <c r="K835" s="37"/>
      <c r="L835" s="38" t="str">
        <f aca="false">IF(C835="","",DATE(YEAR(C835),MONTH(C835),1))</f>
        <v/>
      </c>
      <c r="M835" s="34" t="str">
        <f aca="false">IF(F835="","",N(H835)+N(I835)-N(J835))</f>
        <v/>
      </c>
      <c r="N835" s="29"/>
    </row>
    <row r="836" customFormat="false" ht="15" hidden="false" customHeight="false" outlineLevel="0" collapsed="false">
      <c r="A836" s="29"/>
      <c r="B836" s="29"/>
      <c r="C836" s="31"/>
      <c r="D836" s="31"/>
      <c r="E836" s="35" t="str">
        <f aca="false">IF(OR(C836="",D836=""),"",MAX(1,D836-C836))</f>
        <v/>
      </c>
      <c r="F836" s="32"/>
      <c r="G836" s="36" t="str">
        <f aca="false">IF(B836="","",IFERROR(IF(N(INDEX(Fleet!$N$5:$N$79,MATCH(B836,Fleet!$A$5:$A$79,0)))&gt;0,INDEX(Fleet!$N$5:$N$79,MATCH(B836,Fleet!$A$5:$A$79,0)),Assumptions!$B$7),Assumptions!$B$7))</f>
        <v/>
      </c>
      <c r="H836" s="34" t="str">
        <f aca="false">IF(OR(F836="",G836=""),"",F836*G836)</f>
        <v/>
      </c>
      <c r="I836" s="32"/>
      <c r="J836" s="32"/>
      <c r="K836" s="37"/>
      <c r="L836" s="38" t="str">
        <f aca="false">IF(C836="","",DATE(YEAR(C836),MONTH(C836),1))</f>
        <v/>
      </c>
      <c r="M836" s="34" t="str">
        <f aca="false">IF(F836="","",N(H836)+N(I836)-N(J836))</f>
        <v/>
      </c>
      <c r="N836" s="29"/>
    </row>
    <row r="837" customFormat="false" ht="15" hidden="false" customHeight="false" outlineLevel="0" collapsed="false">
      <c r="A837" s="29"/>
      <c r="B837" s="29"/>
      <c r="C837" s="31"/>
      <c r="D837" s="31"/>
      <c r="E837" s="35" t="str">
        <f aca="false">IF(OR(C837="",D837=""),"",MAX(1,D837-C837))</f>
        <v/>
      </c>
      <c r="F837" s="32"/>
      <c r="G837" s="36" t="str">
        <f aca="false">IF(B837="","",IFERROR(IF(N(INDEX(Fleet!$N$5:$N$79,MATCH(B837,Fleet!$A$5:$A$79,0)))&gt;0,INDEX(Fleet!$N$5:$N$79,MATCH(B837,Fleet!$A$5:$A$79,0)),Assumptions!$B$7),Assumptions!$B$7))</f>
        <v/>
      </c>
      <c r="H837" s="34" t="str">
        <f aca="false">IF(OR(F837="",G837=""),"",F837*G837)</f>
        <v/>
      </c>
      <c r="I837" s="32"/>
      <c r="J837" s="32"/>
      <c r="K837" s="37"/>
      <c r="L837" s="38" t="str">
        <f aca="false">IF(C837="","",DATE(YEAR(C837),MONTH(C837),1))</f>
        <v/>
      </c>
      <c r="M837" s="34" t="str">
        <f aca="false">IF(F837="","",N(H837)+N(I837)-N(J837))</f>
        <v/>
      </c>
      <c r="N837" s="29"/>
    </row>
    <row r="838" customFormat="false" ht="15" hidden="false" customHeight="false" outlineLevel="0" collapsed="false">
      <c r="A838" s="29"/>
      <c r="B838" s="29"/>
      <c r="C838" s="31"/>
      <c r="D838" s="31"/>
      <c r="E838" s="35" t="str">
        <f aca="false">IF(OR(C838="",D838=""),"",MAX(1,D838-C838))</f>
        <v/>
      </c>
      <c r="F838" s="32"/>
      <c r="G838" s="36" t="str">
        <f aca="false">IF(B838="","",IFERROR(IF(N(INDEX(Fleet!$N$5:$N$79,MATCH(B838,Fleet!$A$5:$A$79,0)))&gt;0,INDEX(Fleet!$N$5:$N$79,MATCH(B838,Fleet!$A$5:$A$79,0)),Assumptions!$B$7),Assumptions!$B$7))</f>
        <v/>
      </c>
      <c r="H838" s="34" t="str">
        <f aca="false">IF(OR(F838="",G838=""),"",F838*G838)</f>
        <v/>
      </c>
      <c r="I838" s="32"/>
      <c r="J838" s="32"/>
      <c r="K838" s="37"/>
      <c r="L838" s="38" t="str">
        <f aca="false">IF(C838="","",DATE(YEAR(C838),MONTH(C838),1))</f>
        <v/>
      </c>
      <c r="M838" s="34" t="str">
        <f aca="false">IF(F838="","",N(H838)+N(I838)-N(J838))</f>
        <v/>
      </c>
      <c r="N838" s="29"/>
    </row>
    <row r="839" customFormat="false" ht="15" hidden="false" customHeight="false" outlineLevel="0" collapsed="false">
      <c r="A839" s="29"/>
      <c r="B839" s="29"/>
      <c r="C839" s="31"/>
      <c r="D839" s="31"/>
      <c r="E839" s="35" t="str">
        <f aca="false">IF(OR(C839="",D839=""),"",MAX(1,D839-C839))</f>
        <v/>
      </c>
      <c r="F839" s="32"/>
      <c r="G839" s="36" t="str">
        <f aca="false">IF(B839="","",IFERROR(IF(N(INDEX(Fleet!$N$5:$N$79,MATCH(B839,Fleet!$A$5:$A$79,0)))&gt;0,INDEX(Fleet!$N$5:$N$79,MATCH(B839,Fleet!$A$5:$A$79,0)),Assumptions!$B$7),Assumptions!$B$7))</f>
        <v/>
      </c>
      <c r="H839" s="34" t="str">
        <f aca="false">IF(OR(F839="",G839=""),"",F839*G839)</f>
        <v/>
      </c>
      <c r="I839" s="32"/>
      <c r="J839" s="32"/>
      <c r="K839" s="37"/>
      <c r="L839" s="38" t="str">
        <f aca="false">IF(C839="","",DATE(YEAR(C839),MONTH(C839),1))</f>
        <v/>
      </c>
      <c r="M839" s="34" t="str">
        <f aca="false">IF(F839="","",N(H839)+N(I839)-N(J839))</f>
        <v/>
      </c>
      <c r="N839" s="29"/>
    </row>
    <row r="840" customFormat="false" ht="15" hidden="false" customHeight="false" outlineLevel="0" collapsed="false">
      <c r="A840" s="29"/>
      <c r="B840" s="29"/>
      <c r="C840" s="31"/>
      <c r="D840" s="31"/>
      <c r="E840" s="35" t="str">
        <f aca="false">IF(OR(C840="",D840=""),"",MAX(1,D840-C840))</f>
        <v/>
      </c>
      <c r="F840" s="32"/>
      <c r="G840" s="36" t="str">
        <f aca="false">IF(B840="","",IFERROR(IF(N(INDEX(Fleet!$N$5:$N$79,MATCH(B840,Fleet!$A$5:$A$79,0)))&gt;0,INDEX(Fleet!$N$5:$N$79,MATCH(B840,Fleet!$A$5:$A$79,0)),Assumptions!$B$7),Assumptions!$B$7))</f>
        <v/>
      </c>
      <c r="H840" s="34" t="str">
        <f aca="false">IF(OR(F840="",G840=""),"",F840*G840)</f>
        <v/>
      </c>
      <c r="I840" s="32"/>
      <c r="J840" s="32"/>
      <c r="K840" s="37"/>
      <c r="L840" s="38" t="str">
        <f aca="false">IF(C840="","",DATE(YEAR(C840),MONTH(C840),1))</f>
        <v/>
      </c>
      <c r="M840" s="34" t="str">
        <f aca="false">IF(F840="","",N(H840)+N(I840)-N(J840))</f>
        <v/>
      </c>
      <c r="N840" s="29"/>
    </row>
    <row r="841" customFormat="false" ht="15" hidden="false" customHeight="false" outlineLevel="0" collapsed="false">
      <c r="A841" s="29"/>
      <c r="B841" s="29"/>
      <c r="C841" s="31"/>
      <c r="D841" s="31"/>
      <c r="E841" s="35" t="str">
        <f aca="false">IF(OR(C841="",D841=""),"",MAX(1,D841-C841))</f>
        <v/>
      </c>
      <c r="F841" s="32"/>
      <c r="G841" s="36" t="str">
        <f aca="false">IF(B841="","",IFERROR(IF(N(INDEX(Fleet!$N$5:$N$79,MATCH(B841,Fleet!$A$5:$A$79,0)))&gt;0,INDEX(Fleet!$N$5:$N$79,MATCH(B841,Fleet!$A$5:$A$79,0)),Assumptions!$B$7),Assumptions!$B$7))</f>
        <v/>
      </c>
      <c r="H841" s="34" t="str">
        <f aca="false">IF(OR(F841="",G841=""),"",F841*G841)</f>
        <v/>
      </c>
      <c r="I841" s="32"/>
      <c r="J841" s="32"/>
      <c r="K841" s="37"/>
      <c r="L841" s="38" t="str">
        <f aca="false">IF(C841="","",DATE(YEAR(C841),MONTH(C841),1))</f>
        <v/>
      </c>
      <c r="M841" s="34" t="str">
        <f aca="false">IF(F841="","",N(H841)+N(I841)-N(J841))</f>
        <v/>
      </c>
      <c r="N841" s="29"/>
    </row>
    <row r="842" customFormat="false" ht="15" hidden="false" customHeight="false" outlineLevel="0" collapsed="false">
      <c r="A842" s="29"/>
      <c r="B842" s="29"/>
      <c r="C842" s="31"/>
      <c r="D842" s="31"/>
      <c r="E842" s="35" t="str">
        <f aca="false">IF(OR(C842="",D842=""),"",MAX(1,D842-C842))</f>
        <v/>
      </c>
      <c r="F842" s="32"/>
      <c r="G842" s="36" t="str">
        <f aca="false">IF(B842="","",IFERROR(IF(N(INDEX(Fleet!$N$5:$N$79,MATCH(B842,Fleet!$A$5:$A$79,0)))&gt;0,INDEX(Fleet!$N$5:$N$79,MATCH(B842,Fleet!$A$5:$A$79,0)),Assumptions!$B$7),Assumptions!$B$7))</f>
        <v/>
      </c>
      <c r="H842" s="34" t="str">
        <f aca="false">IF(OR(F842="",G842=""),"",F842*G842)</f>
        <v/>
      </c>
      <c r="I842" s="32"/>
      <c r="J842" s="32"/>
      <c r="K842" s="37"/>
      <c r="L842" s="38" t="str">
        <f aca="false">IF(C842="","",DATE(YEAR(C842),MONTH(C842),1))</f>
        <v/>
      </c>
      <c r="M842" s="34" t="str">
        <f aca="false">IF(F842="","",N(H842)+N(I842)-N(J842))</f>
        <v/>
      </c>
      <c r="N842" s="29"/>
    </row>
    <row r="843" customFormat="false" ht="15" hidden="false" customHeight="false" outlineLevel="0" collapsed="false">
      <c r="A843" s="29"/>
      <c r="B843" s="29"/>
      <c r="C843" s="31"/>
      <c r="D843" s="31"/>
      <c r="E843" s="35" t="str">
        <f aca="false">IF(OR(C843="",D843=""),"",MAX(1,D843-C843))</f>
        <v/>
      </c>
      <c r="F843" s="32"/>
      <c r="G843" s="36" t="str">
        <f aca="false">IF(B843="","",IFERROR(IF(N(INDEX(Fleet!$N$5:$N$79,MATCH(B843,Fleet!$A$5:$A$79,0)))&gt;0,INDEX(Fleet!$N$5:$N$79,MATCH(B843,Fleet!$A$5:$A$79,0)),Assumptions!$B$7),Assumptions!$B$7))</f>
        <v/>
      </c>
      <c r="H843" s="34" t="str">
        <f aca="false">IF(OR(F843="",G843=""),"",F843*G843)</f>
        <v/>
      </c>
      <c r="I843" s="32"/>
      <c r="J843" s="32"/>
      <c r="K843" s="37"/>
      <c r="L843" s="38" t="str">
        <f aca="false">IF(C843="","",DATE(YEAR(C843),MONTH(C843),1))</f>
        <v/>
      </c>
      <c r="M843" s="34" t="str">
        <f aca="false">IF(F843="","",N(H843)+N(I843)-N(J843))</f>
        <v/>
      </c>
      <c r="N843" s="29"/>
    </row>
    <row r="844" customFormat="false" ht="15" hidden="false" customHeight="false" outlineLevel="0" collapsed="false">
      <c r="A844" s="29"/>
      <c r="B844" s="29"/>
      <c r="C844" s="31"/>
      <c r="D844" s="31"/>
      <c r="E844" s="35" t="str">
        <f aca="false">IF(OR(C844="",D844=""),"",MAX(1,D844-C844))</f>
        <v/>
      </c>
      <c r="F844" s="32"/>
      <c r="G844" s="36" t="str">
        <f aca="false">IF(B844="","",IFERROR(IF(N(INDEX(Fleet!$N$5:$N$79,MATCH(B844,Fleet!$A$5:$A$79,0)))&gt;0,INDEX(Fleet!$N$5:$N$79,MATCH(B844,Fleet!$A$5:$A$79,0)),Assumptions!$B$7),Assumptions!$B$7))</f>
        <v/>
      </c>
      <c r="H844" s="34" t="str">
        <f aca="false">IF(OR(F844="",G844=""),"",F844*G844)</f>
        <v/>
      </c>
      <c r="I844" s="32"/>
      <c r="J844" s="32"/>
      <c r="K844" s="37"/>
      <c r="L844" s="38" t="str">
        <f aca="false">IF(C844="","",DATE(YEAR(C844),MONTH(C844),1))</f>
        <v/>
      </c>
      <c r="M844" s="34" t="str">
        <f aca="false">IF(F844="","",N(H844)+N(I844)-N(J844))</f>
        <v/>
      </c>
      <c r="N844" s="29"/>
    </row>
    <row r="845" customFormat="false" ht="15" hidden="false" customHeight="false" outlineLevel="0" collapsed="false">
      <c r="A845" s="29"/>
      <c r="B845" s="29"/>
      <c r="C845" s="31"/>
      <c r="D845" s="31"/>
      <c r="E845" s="35" t="str">
        <f aca="false">IF(OR(C845="",D845=""),"",MAX(1,D845-C845))</f>
        <v/>
      </c>
      <c r="F845" s="32"/>
      <c r="G845" s="36" t="str">
        <f aca="false">IF(B845="","",IFERROR(IF(N(INDEX(Fleet!$N$5:$N$79,MATCH(B845,Fleet!$A$5:$A$79,0)))&gt;0,INDEX(Fleet!$N$5:$N$79,MATCH(B845,Fleet!$A$5:$A$79,0)),Assumptions!$B$7),Assumptions!$B$7))</f>
        <v/>
      </c>
      <c r="H845" s="34" t="str">
        <f aca="false">IF(OR(F845="",G845=""),"",F845*G845)</f>
        <v/>
      </c>
      <c r="I845" s="32"/>
      <c r="J845" s="32"/>
      <c r="K845" s="37"/>
      <c r="L845" s="38" t="str">
        <f aca="false">IF(C845="","",DATE(YEAR(C845),MONTH(C845),1))</f>
        <v/>
      </c>
      <c r="M845" s="34" t="str">
        <f aca="false">IF(F845="","",N(H845)+N(I845)-N(J845))</f>
        <v/>
      </c>
      <c r="N845" s="29"/>
    </row>
    <row r="846" customFormat="false" ht="15" hidden="false" customHeight="false" outlineLevel="0" collapsed="false">
      <c r="A846" s="29"/>
      <c r="B846" s="29"/>
      <c r="C846" s="31"/>
      <c r="D846" s="31"/>
      <c r="E846" s="35" t="str">
        <f aca="false">IF(OR(C846="",D846=""),"",MAX(1,D846-C846))</f>
        <v/>
      </c>
      <c r="F846" s="32"/>
      <c r="G846" s="36" t="str">
        <f aca="false">IF(B846="","",IFERROR(IF(N(INDEX(Fleet!$N$5:$N$79,MATCH(B846,Fleet!$A$5:$A$79,0)))&gt;0,INDEX(Fleet!$N$5:$N$79,MATCH(B846,Fleet!$A$5:$A$79,0)),Assumptions!$B$7),Assumptions!$B$7))</f>
        <v/>
      </c>
      <c r="H846" s="34" t="str">
        <f aca="false">IF(OR(F846="",G846=""),"",F846*G846)</f>
        <v/>
      </c>
      <c r="I846" s="32"/>
      <c r="J846" s="32"/>
      <c r="K846" s="37"/>
      <c r="L846" s="38" t="str">
        <f aca="false">IF(C846="","",DATE(YEAR(C846),MONTH(C846),1))</f>
        <v/>
      </c>
      <c r="M846" s="34" t="str">
        <f aca="false">IF(F846="","",N(H846)+N(I846)-N(J846))</f>
        <v/>
      </c>
      <c r="N846" s="29"/>
    </row>
    <row r="847" customFormat="false" ht="15" hidden="false" customHeight="false" outlineLevel="0" collapsed="false">
      <c r="A847" s="29"/>
      <c r="B847" s="29"/>
      <c r="C847" s="31"/>
      <c r="D847" s="31"/>
      <c r="E847" s="35" t="str">
        <f aca="false">IF(OR(C847="",D847=""),"",MAX(1,D847-C847))</f>
        <v/>
      </c>
      <c r="F847" s="32"/>
      <c r="G847" s="36" t="str">
        <f aca="false">IF(B847="","",IFERROR(IF(N(INDEX(Fleet!$N$5:$N$79,MATCH(B847,Fleet!$A$5:$A$79,0)))&gt;0,INDEX(Fleet!$N$5:$N$79,MATCH(B847,Fleet!$A$5:$A$79,0)),Assumptions!$B$7),Assumptions!$B$7))</f>
        <v/>
      </c>
      <c r="H847" s="34" t="str">
        <f aca="false">IF(OR(F847="",G847=""),"",F847*G847)</f>
        <v/>
      </c>
      <c r="I847" s="32"/>
      <c r="J847" s="32"/>
      <c r="K847" s="37"/>
      <c r="L847" s="38" t="str">
        <f aca="false">IF(C847="","",DATE(YEAR(C847),MONTH(C847),1))</f>
        <v/>
      </c>
      <c r="M847" s="34" t="str">
        <f aca="false">IF(F847="","",N(H847)+N(I847)-N(J847))</f>
        <v/>
      </c>
      <c r="N847" s="29"/>
    </row>
    <row r="848" customFormat="false" ht="15" hidden="false" customHeight="false" outlineLevel="0" collapsed="false">
      <c r="A848" s="29"/>
      <c r="B848" s="29"/>
      <c r="C848" s="31"/>
      <c r="D848" s="31"/>
      <c r="E848" s="35" t="str">
        <f aca="false">IF(OR(C848="",D848=""),"",MAX(1,D848-C848))</f>
        <v/>
      </c>
      <c r="F848" s="32"/>
      <c r="G848" s="36" t="str">
        <f aca="false">IF(B848="","",IFERROR(IF(N(INDEX(Fleet!$N$5:$N$79,MATCH(B848,Fleet!$A$5:$A$79,0)))&gt;0,INDEX(Fleet!$N$5:$N$79,MATCH(B848,Fleet!$A$5:$A$79,0)),Assumptions!$B$7),Assumptions!$B$7))</f>
        <v/>
      </c>
      <c r="H848" s="34" t="str">
        <f aca="false">IF(OR(F848="",G848=""),"",F848*G848)</f>
        <v/>
      </c>
      <c r="I848" s="32"/>
      <c r="J848" s="32"/>
      <c r="K848" s="37"/>
      <c r="L848" s="38" t="str">
        <f aca="false">IF(C848="","",DATE(YEAR(C848),MONTH(C848),1))</f>
        <v/>
      </c>
      <c r="M848" s="34" t="str">
        <f aca="false">IF(F848="","",N(H848)+N(I848)-N(J848))</f>
        <v/>
      </c>
      <c r="N848" s="29"/>
    </row>
    <row r="849" customFormat="false" ht="15" hidden="false" customHeight="false" outlineLevel="0" collapsed="false">
      <c r="A849" s="29"/>
      <c r="B849" s="29"/>
      <c r="C849" s="31"/>
      <c r="D849" s="31"/>
      <c r="E849" s="35" t="str">
        <f aca="false">IF(OR(C849="",D849=""),"",MAX(1,D849-C849))</f>
        <v/>
      </c>
      <c r="F849" s="32"/>
      <c r="G849" s="36" t="str">
        <f aca="false">IF(B849="","",IFERROR(IF(N(INDEX(Fleet!$N$5:$N$79,MATCH(B849,Fleet!$A$5:$A$79,0)))&gt;0,INDEX(Fleet!$N$5:$N$79,MATCH(B849,Fleet!$A$5:$A$79,0)),Assumptions!$B$7),Assumptions!$B$7))</f>
        <v/>
      </c>
      <c r="H849" s="34" t="str">
        <f aca="false">IF(OR(F849="",G849=""),"",F849*G849)</f>
        <v/>
      </c>
      <c r="I849" s="32"/>
      <c r="J849" s="32"/>
      <c r="K849" s="37"/>
      <c r="L849" s="38" t="str">
        <f aca="false">IF(C849="","",DATE(YEAR(C849),MONTH(C849),1))</f>
        <v/>
      </c>
      <c r="M849" s="34" t="str">
        <f aca="false">IF(F849="","",N(H849)+N(I849)-N(J849))</f>
        <v/>
      </c>
      <c r="N849" s="29"/>
    </row>
    <row r="850" customFormat="false" ht="15" hidden="false" customHeight="false" outlineLevel="0" collapsed="false">
      <c r="A850" s="29"/>
      <c r="B850" s="29"/>
      <c r="C850" s="31"/>
      <c r="D850" s="31"/>
      <c r="E850" s="35" t="str">
        <f aca="false">IF(OR(C850="",D850=""),"",MAX(1,D850-C850))</f>
        <v/>
      </c>
      <c r="F850" s="32"/>
      <c r="G850" s="36" t="str">
        <f aca="false">IF(B850="","",IFERROR(IF(N(INDEX(Fleet!$N$5:$N$79,MATCH(B850,Fleet!$A$5:$A$79,0)))&gt;0,INDEX(Fleet!$N$5:$N$79,MATCH(B850,Fleet!$A$5:$A$79,0)),Assumptions!$B$7),Assumptions!$B$7))</f>
        <v/>
      </c>
      <c r="H850" s="34" t="str">
        <f aca="false">IF(OR(F850="",G850=""),"",F850*G850)</f>
        <v/>
      </c>
      <c r="I850" s="32"/>
      <c r="J850" s="32"/>
      <c r="K850" s="37"/>
      <c r="L850" s="38" t="str">
        <f aca="false">IF(C850="","",DATE(YEAR(C850),MONTH(C850),1))</f>
        <v/>
      </c>
      <c r="M850" s="34" t="str">
        <f aca="false">IF(F850="","",N(H850)+N(I850)-N(J850))</f>
        <v/>
      </c>
      <c r="N850" s="29"/>
    </row>
    <row r="851" customFormat="false" ht="15" hidden="false" customHeight="false" outlineLevel="0" collapsed="false">
      <c r="A851" s="29"/>
      <c r="B851" s="29"/>
      <c r="C851" s="31"/>
      <c r="D851" s="31"/>
      <c r="E851" s="35" t="str">
        <f aca="false">IF(OR(C851="",D851=""),"",MAX(1,D851-C851))</f>
        <v/>
      </c>
      <c r="F851" s="32"/>
      <c r="G851" s="36" t="str">
        <f aca="false">IF(B851="","",IFERROR(IF(N(INDEX(Fleet!$N$5:$N$79,MATCH(B851,Fleet!$A$5:$A$79,0)))&gt;0,INDEX(Fleet!$N$5:$N$79,MATCH(B851,Fleet!$A$5:$A$79,0)),Assumptions!$B$7),Assumptions!$B$7))</f>
        <v/>
      </c>
      <c r="H851" s="34" t="str">
        <f aca="false">IF(OR(F851="",G851=""),"",F851*G851)</f>
        <v/>
      </c>
      <c r="I851" s="32"/>
      <c r="J851" s="32"/>
      <c r="K851" s="37"/>
      <c r="L851" s="38" t="str">
        <f aca="false">IF(C851="","",DATE(YEAR(C851),MONTH(C851),1))</f>
        <v/>
      </c>
      <c r="M851" s="34" t="str">
        <f aca="false">IF(F851="","",N(H851)+N(I851)-N(J851))</f>
        <v/>
      </c>
      <c r="N851" s="29"/>
    </row>
    <row r="852" customFormat="false" ht="15" hidden="false" customHeight="false" outlineLevel="0" collapsed="false">
      <c r="A852" s="29"/>
      <c r="B852" s="29"/>
      <c r="C852" s="31"/>
      <c r="D852" s="31"/>
      <c r="E852" s="35" t="str">
        <f aca="false">IF(OR(C852="",D852=""),"",MAX(1,D852-C852))</f>
        <v/>
      </c>
      <c r="F852" s="32"/>
      <c r="G852" s="36" t="str">
        <f aca="false">IF(B852="","",IFERROR(IF(N(INDEX(Fleet!$N$5:$N$79,MATCH(B852,Fleet!$A$5:$A$79,0)))&gt;0,INDEX(Fleet!$N$5:$N$79,MATCH(B852,Fleet!$A$5:$A$79,0)),Assumptions!$B$7),Assumptions!$B$7))</f>
        <v/>
      </c>
      <c r="H852" s="34" t="str">
        <f aca="false">IF(OR(F852="",G852=""),"",F852*G852)</f>
        <v/>
      </c>
      <c r="I852" s="32"/>
      <c r="J852" s="32"/>
      <c r="K852" s="37"/>
      <c r="L852" s="38" t="str">
        <f aca="false">IF(C852="","",DATE(YEAR(C852),MONTH(C852),1))</f>
        <v/>
      </c>
      <c r="M852" s="34" t="str">
        <f aca="false">IF(F852="","",N(H852)+N(I852)-N(J852))</f>
        <v/>
      </c>
      <c r="N852" s="29"/>
    </row>
    <row r="853" customFormat="false" ht="15" hidden="false" customHeight="false" outlineLevel="0" collapsed="false">
      <c r="A853" s="29"/>
      <c r="B853" s="29"/>
      <c r="C853" s="31"/>
      <c r="D853" s="31"/>
      <c r="E853" s="35" t="str">
        <f aca="false">IF(OR(C853="",D853=""),"",MAX(1,D853-C853))</f>
        <v/>
      </c>
      <c r="F853" s="32"/>
      <c r="G853" s="36" t="str">
        <f aca="false">IF(B853="","",IFERROR(IF(N(INDEX(Fleet!$N$5:$N$79,MATCH(B853,Fleet!$A$5:$A$79,0)))&gt;0,INDEX(Fleet!$N$5:$N$79,MATCH(B853,Fleet!$A$5:$A$79,0)),Assumptions!$B$7),Assumptions!$B$7))</f>
        <v/>
      </c>
      <c r="H853" s="34" t="str">
        <f aca="false">IF(OR(F853="",G853=""),"",F853*G853)</f>
        <v/>
      </c>
      <c r="I853" s="32"/>
      <c r="J853" s="32"/>
      <c r="K853" s="37"/>
      <c r="L853" s="38" t="str">
        <f aca="false">IF(C853="","",DATE(YEAR(C853),MONTH(C853),1))</f>
        <v/>
      </c>
      <c r="M853" s="34" t="str">
        <f aca="false">IF(F853="","",N(H853)+N(I853)-N(J853))</f>
        <v/>
      </c>
      <c r="N853" s="29"/>
    </row>
    <row r="854" customFormat="false" ht="15" hidden="false" customHeight="false" outlineLevel="0" collapsed="false">
      <c r="A854" s="29"/>
      <c r="B854" s="29"/>
      <c r="C854" s="31"/>
      <c r="D854" s="31"/>
      <c r="E854" s="35" t="str">
        <f aca="false">IF(OR(C854="",D854=""),"",MAX(1,D854-C854))</f>
        <v/>
      </c>
      <c r="F854" s="32"/>
      <c r="G854" s="36" t="str">
        <f aca="false">IF(B854="","",IFERROR(IF(N(INDEX(Fleet!$N$5:$N$79,MATCH(B854,Fleet!$A$5:$A$79,0)))&gt;0,INDEX(Fleet!$N$5:$N$79,MATCH(B854,Fleet!$A$5:$A$79,0)),Assumptions!$B$7),Assumptions!$B$7))</f>
        <v/>
      </c>
      <c r="H854" s="34" t="str">
        <f aca="false">IF(OR(F854="",G854=""),"",F854*G854)</f>
        <v/>
      </c>
      <c r="I854" s="32"/>
      <c r="J854" s="32"/>
      <c r="K854" s="37"/>
      <c r="L854" s="38" t="str">
        <f aca="false">IF(C854="","",DATE(YEAR(C854),MONTH(C854),1))</f>
        <v/>
      </c>
      <c r="M854" s="34" t="str">
        <f aca="false">IF(F854="","",N(H854)+N(I854)-N(J854))</f>
        <v/>
      </c>
      <c r="N854" s="29"/>
    </row>
    <row r="855" customFormat="false" ht="15" hidden="false" customHeight="false" outlineLevel="0" collapsed="false">
      <c r="A855" s="29"/>
      <c r="B855" s="29"/>
      <c r="C855" s="31"/>
      <c r="D855" s="31"/>
      <c r="E855" s="35" t="str">
        <f aca="false">IF(OR(C855="",D855=""),"",MAX(1,D855-C855))</f>
        <v/>
      </c>
      <c r="F855" s="32"/>
      <c r="G855" s="36" t="str">
        <f aca="false">IF(B855="","",IFERROR(IF(N(INDEX(Fleet!$N$5:$N$79,MATCH(B855,Fleet!$A$5:$A$79,0)))&gt;0,INDEX(Fleet!$N$5:$N$79,MATCH(B855,Fleet!$A$5:$A$79,0)),Assumptions!$B$7),Assumptions!$B$7))</f>
        <v/>
      </c>
      <c r="H855" s="34" t="str">
        <f aca="false">IF(OR(F855="",G855=""),"",F855*G855)</f>
        <v/>
      </c>
      <c r="I855" s="32"/>
      <c r="J855" s="32"/>
      <c r="K855" s="37"/>
      <c r="L855" s="38" t="str">
        <f aca="false">IF(C855="","",DATE(YEAR(C855),MONTH(C855),1))</f>
        <v/>
      </c>
      <c r="M855" s="34" t="str">
        <f aca="false">IF(F855="","",N(H855)+N(I855)-N(J855))</f>
        <v/>
      </c>
      <c r="N855" s="29"/>
    </row>
    <row r="856" customFormat="false" ht="15" hidden="false" customHeight="false" outlineLevel="0" collapsed="false">
      <c r="A856" s="29"/>
      <c r="B856" s="29"/>
      <c r="C856" s="31"/>
      <c r="D856" s="31"/>
      <c r="E856" s="35" t="str">
        <f aca="false">IF(OR(C856="",D856=""),"",MAX(1,D856-C856))</f>
        <v/>
      </c>
      <c r="F856" s="32"/>
      <c r="G856" s="36" t="str">
        <f aca="false">IF(B856="","",IFERROR(IF(N(INDEX(Fleet!$N$5:$N$79,MATCH(B856,Fleet!$A$5:$A$79,0)))&gt;0,INDEX(Fleet!$N$5:$N$79,MATCH(B856,Fleet!$A$5:$A$79,0)),Assumptions!$B$7),Assumptions!$B$7))</f>
        <v/>
      </c>
      <c r="H856" s="34" t="str">
        <f aca="false">IF(OR(F856="",G856=""),"",F856*G856)</f>
        <v/>
      </c>
      <c r="I856" s="32"/>
      <c r="J856" s="32"/>
      <c r="K856" s="37"/>
      <c r="L856" s="38" t="str">
        <f aca="false">IF(C856="","",DATE(YEAR(C856),MONTH(C856),1))</f>
        <v/>
      </c>
      <c r="M856" s="34" t="str">
        <f aca="false">IF(F856="","",N(H856)+N(I856)-N(J856))</f>
        <v/>
      </c>
      <c r="N856" s="29"/>
    </row>
    <row r="857" customFormat="false" ht="15" hidden="false" customHeight="false" outlineLevel="0" collapsed="false">
      <c r="A857" s="29"/>
      <c r="B857" s="29"/>
      <c r="C857" s="31"/>
      <c r="D857" s="31"/>
      <c r="E857" s="35" t="str">
        <f aca="false">IF(OR(C857="",D857=""),"",MAX(1,D857-C857))</f>
        <v/>
      </c>
      <c r="F857" s="32"/>
      <c r="G857" s="36" t="str">
        <f aca="false">IF(B857="","",IFERROR(IF(N(INDEX(Fleet!$N$5:$N$79,MATCH(B857,Fleet!$A$5:$A$79,0)))&gt;0,INDEX(Fleet!$N$5:$N$79,MATCH(B857,Fleet!$A$5:$A$79,0)),Assumptions!$B$7),Assumptions!$B$7))</f>
        <v/>
      </c>
      <c r="H857" s="34" t="str">
        <f aca="false">IF(OR(F857="",G857=""),"",F857*G857)</f>
        <v/>
      </c>
      <c r="I857" s="32"/>
      <c r="J857" s="32"/>
      <c r="K857" s="37"/>
      <c r="L857" s="38" t="str">
        <f aca="false">IF(C857="","",DATE(YEAR(C857),MONTH(C857),1))</f>
        <v/>
      </c>
      <c r="M857" s="34" t="str">
        <f aca="false">IF(F857="","",N(H857)+N(I857)-N(J857))</f>
        <v/>
      </c>
      <c r="N857" s="29"/>
    </row>
    <row r="858" customFormat="false" ht="15" hidden="false" customHeight="false" outlineLevel="0" collapsed="false">
      <c r="A858" s="29"/>
      <c r="B858" s="29"/>
      <c r="C858" s="31"/>
      <c r="D858" s="31"/>
      <c r="E858" s="35" t="str">
        <f aca="false">IF(OR(C858="",D858=""),"",MAX(1,D858-C858))</f>
        <v/>
      </c>
      <c r="F858" s="32"/>
      <c r="G858" s="36" t="str">
        <f aca="false">IF(B858="","",IFERROR(IF(N(INDEX(Fleet!$N$5:$N$79,MATCH(B858,Fleet!$A$5:$A$79,0)))&gt;0,INDEX(Fleet!$N$5:$N$79,MATCH(B858,Fleet!$A$5:$A$79,0)),Assumptions!$B$7),Assumptions!$B$7))</f>
        <v/>
      </c>
      <c r="H858" s="34" t="str">
        <f aca="false">IF(OR(F858="",G858=""),"",F858*G858)</f>
        <v/>
      </c>
      <c r="I858" s="32"/>
      <c r="J858" s="32"/>
      <c r="K858" s="37"/>
      <c r="L858" s="38" t="str">
        <f aca="false">IF(C858="","",DATE(YEAR(C858),MONTH(C858),1))</f>
        <v/>
      </c>
      <c r="M858" s="34" t="str">
        <f aca="false">IF(F858="","",N(H858)+N(I858)-N(J858))</f>
        <v/>
      </c>
      <c r="N858" s="29"/>
    </row>
    <row r="859" customFormat="false" ht="15" hidden="false" customHeight="false" outlineLevel="0" collapsed="false">
      <c r="A859" s="29"/>
      <c r="B859" s="29"/>
      <c r="C859" s="31"/>
      <c r="D859" s="31"/>
      <c r="E859" s="35" t="str">
        <f aca="false">IF(OR(C859="",D859=""),"",MAX(1,D859-C859))</f>
        <v/>
      </c>
      <c r="F859" s="32"/>
      <c r="G859" s="36" t="str">
        <f aca="false">IF(B859="","",IFERROR(IF(N(INDEX(Fleet!$N$5:$N$79,MATCH(B859,Fleet!$A$5:$A$79,0)))&gt;0,INDEX(Fleet!$N$5:$N$79,MATCH(B859,Fleet!$A$5:$A$79,0)),Assumptions!$B$7),Assumptions!$B$7))</f>
        <v/>
      </c>
      <c r="H859" s="34" t="str">
        <f aca="false">IF(OR(F859="",G859=""),"",F859*G859)</f>
        <v/>
      </c>
      <c r="I859" s="32"/>
      <c r="J859" s="32"/>
      <c r="K859" s="37"/>
      <c r="L859" s="38" t="str">
        <f aca="false">IF(C859="","",DATE(YEAR(C859),MONTH(C859),1))</f>
        <v/>
      </c>
      <c r="M859" s="34" t="str">
        <f aca="false">IF(F859="","",N(H859)+N(I859)-N(J859))</f>
        <v/>
      </c>
      <c r="N859" s="29"/>
    </row>
    <row r="860" customFormat="false" ht="15" hidden="false" customHeight="false" outlineLevel="0" collapsed="false">
      <c r="A860" s="29"/>
      <c r="B860" s="29"/>
      <c r="C860" s="31"/>
      <c r="D860" s="31"/>
      <c r="E860" s="35" t="str">
        <f aca="false">IF(OR(C860="",D860=""),"",MAX(1,D860-C860))</f>
        <v/>
      </c>
      <c r="F860" s="32"/>
      <c r="G860" s="36" t="str">
        <f aca="false">IF(B860="","",IFERROR(IF(N(INDEX(Fleet!$N$5:$N$79,MATCH(B860,Fleet!$A$5:$A$79,0)))&gt;0,INDEX(Fleet!$N$5:$N$79,MATCH(B860,Fleet!$A$5:$A$79,0)),Assumptions!$B$7),Assumptions!$B$7))</f>
        <v/>
      </c>
      <c r="H860" s="34" t="str">
        <f aca="false">IF(OR(F860="",G860=""),"",F860*G860)</f>
        <v/>
      </c>
      <c r="I860" s="32"/>
      <c r="J860" s="32"/>
      <c r="K860" s="37"/>
      <c r="L860" s="38" t="str">
        <f aca="false">IF(C860="","",DATE(YEAR(C860),MONTH(C860),1))</f>
        <v/>
      </c>
      <c r="M860" s="34" t="str">
        <f aca="false">IF(F860="","",N(H860)+N(I860)-N(J860))</f>
        <v/>
      </c>
      <c r="N860" s="29"/>
    </row>
    <row r="861" customFormat="false" ht="15" hidden="false" customHeight="false" outlineLevel="0" collapsed="false">
      <c r="A861" s="29"/>
      <c r="B861" s="29"/>
      <c r="C861" s="31"/>
      <c r="D861" s="31"/>
      <c r="E861" s="35" t="str">
        <f aca="false">IF(OR(C861="",D861=""),"",MAX(1,D861-C861))</f>
        <v/>
      </c>
      <c r="F861" s="32"/>
      <c r="G861" s="36" t="str">
        <f aca="false">IF(B861="","",IFERROR(IF(N(INDEX(Fleet!$N$5:$N$79,MATCH(B861,Fleet!$A$5:$A$79,0)))&gt;0,INDEX(Fleet!$N$5:$N$79,MATCH(B861,Fleet!$A$5:$A$79,0)),Assumptions!$B$7),Assumptions!$B$7))</f>
        <v/>
      </c>
      <c r="H861" s="34" t="str">
        <f aca="false">IF(OR(F861="",G861=""),"",F861*G861)</f>
        <v/>
      </c>
      <c r="I861" s="32"/>
      <c r="J861" s="32"/>
      <c r="K861" s="37"/>
      <c r="L861" s="38" t="str">
        <f aca="false">IF(C861="","",DATE(YEAR(C861),MONTH(C861),1))</f>
        <v/>
      </c>
      <c r="M861" s="34" t="str">
        <f aca="false">IF(F861="","",N(H861)+N(I861)-N(J861))</f>
        <v/>
      </c>
      <c r="N861" s="29"/>
    </row>
    <row r="862" customFormat="false" ht="15" hidden="false" customHeight="false" outlineLevel="0" collapsed="false">
      <c r="A862" s="29"/>
      <c r="B862" s="29"/>
      <c r="C862" s="31"/>
      <c r="D862" s="31"/>
      <c r="E862" s="35" t="str">
        <f aca="false">IF(OR(C862="",D862=""),"",MAX(1,D862-C862))</f>
        <v/>
      </c>
      <c r="F862" s="32"/>
      <c r="G862" s="36" t="str">
        <f aca="false">IF(B862="","",IFERROR(IF(N(INDEX(Fleet!$N$5:$N$79,MATCH(B862,Fleet!$A$5:$A$79,0)))&gt;0,INDEX(Fleet!$N$5:$N$79,MATCH(B862,Fleet!$A$5:$A$79,0)),Assumptions!$B$7),Assumptions!$B$7))</f>
        <v/>
      </c>
      <c r="H862" s="34" t="str">
        <f aca="false">IF(OR(F862="",G862=""),"",F862*G862)</f>
        <v/>
      </c>
      <c r="I862" s="32"/>
      <c r="J862" s="32"/>
      <c r="K862" s="37"/>
      <c r="L862" s="38" t="str">
        <f aca="false">IF(C862="","",DATE(YEAR(C862),MONTH(C862),1))</f>
        <v/>
      </c>
      <c r="M862" s="34" t="str">
        <f aca="false">IF(F862="","",N(H862)+N(I862)-N(J862))</f>
        <v/>
      </c>
      <c r="N862" s="29"/>
    </row>
    <row r="863" customFormat="false" ht="15" hidden="false" customHeight="false" outlineLevel="0" collapsed="false">
      <c r="A863" s="29"/>
      <c r="B863" s="29"/>
      <c r="C863" s="31"/>
      <c r="D863" s="31"/>
      <c r="E863" s="35" t="str">
        <f aca="false">IF(OR(C863="",D863=""),"",MAX(1,D863-C863))</f>
        <v/>
      </c>
      <c r="F863" s="32"/>
      <c r="G863" s="36" t="str">
        <f aca="false">IF(B863="","",IFERROR(IF(N(INDEX(Fleet!$N$5:$N$79,MATCH(B863,Fleet!$A$5:$A$79,0)))&gt;0,INDEX(Fleet!$N$5:$N$79,MATCH(B863,Fleet!$A$5:$A$79,0)),Assumptions!$B$7),Assumptions!$B$7))</f>
        <v/>
      </c>
      <c r="H863" s="34" t="str">
        <f aca="false">IF(OR(F863="",G863=""),"",F863*G863)</f>
        <v/>
      </c>
      <c r="I863" s="32"/>
      <c r="J863" s="32"/>
      <c r="K863" s="37"/>
      <c r="L863" s="38" t="str">
        <f aca="false">IF(C863="","",DATE(YEAR(C863),MONTH(C863),1))</f>
        <v/>
      </c>
      <c r="M863" s="34" t="str">
        <f aca="false">IF(F863="","",N(H863)+N(I863)-N(J863))</f>
        <v/>
      </c>
      <c r="N863" s="29"/>
    </row>
    <row r="864" customFormat="false" ht="15" hidden="false" customHeight="false" outlineLevel="0" collapsed="false">
      <c r="A864" s="29"/>
      <c r="B864" s="29"/>
      <c r="C864" s="31"/>
      <c r="D864" s="31"/>
      <c r="E864" s="35" t="str">
        <f aca="false">IF(OR(C864="",D864=""),"",MAX(1,D864-C864))</f>
        <v/>
      </c>
      <c r="F864" s="32"/>
      <c r="G864" s="36" t="str">
        <f aca="false">IF(B864="","",IFERROR(IF(N(INDEX(Fleet!$N$5:$N$79,MATCH(B864,Fleet!$A$5:$A$79,0)))&gt;0,INDEX(Fleet!$N$5:$N$79,MATCH(B864,Fleet!$A$5:$A$79,0)),Assumptions!$B$7),Assumptions!$B$7))</f>
        <v/>
      </c>
      <c r="H864" s="34" t="str">
        <f aca="false">IF(OR(F864="",G864=""),"",F864*G864)</f>
        <v/>
      </c>
      <c r="I864" s="32"/>
      <c r="J864" s="32"/>
      <c r="K864" s="37"/>
      <c r="L864" s="38" t="str">
        <f aca="false">IF(C864="","",DATE(YEAR(C864),MONTH(C864),1))</f>
        <v/>
      </c>
      <c r="M864" s="34" t="str">
        <f aca="false">IF(F864="","",N(H864)+N(I864)-N(J864))</f>
        <v/>
      </c>
      <c r="N864" s="29"/>
    </row>
    <row r="865" customFormat="false" ht="15" hidden="false" customHeight="false" outlineLevel="0" collapsed="false">
      <c r="A865" s="29"/>
      <c r="B865" s="29"/>
      <c r="C865" s="31"/>
      <c r="D865" s="31"/>
      <c r="E865" s="35" t="str">
        <f aca="false">IF(OR(C865="",D865=""),"",MAX(1,D865-C865))</f>
        <v/>
      </c>
      <c r="F865" s="32"/>
      <c r="G865" s="36" t="str">
        <f aca="false">IF(B865="","",IFERROR(IF(N(INDEX(Fleet!$N$5:$N$79,MATCH(B865,Fleet!$A$5:$A$79,0)))&gt;0,INDEX(Fleet!$N$5:$N$79,MATCH(B865,Fleet!$A$5:$A$79,0)),Assumptions!$B$7),Assumptions!$B$7))</f>
        <v/>
      </c>
      <c r="H865" s="34" t="str">
        <f aca="false">IF(OR(F865="",G865=""),"",F865*G865)</f>
        <v/>
      </c>
      <c r="I865" s="32"/>
      <c r="J865" s="32"/>
      <c r="K865" s="37"/>
      <c r="L865" s="38" t="str">
        <f aca="false">IF(C865="","",DATE(YEAR(C865),MONTH(C865),1))</f>
        <v/>
      </c>
      <c r="M865" s="34" t="str">
        <f aca="false">IF(F865="","",N(H865)+N(I865)-N(J865))</f>
        <v/>
      </c>
      <c r="N865" s="29"/>
    </row>
    <row r="866" customFormat="false" ht="15" hidden="false" customHeight="false" outlineLevel="0" collapsed="false">
      <c r="A866" s="29"/>
      <c r="B866" s="29"/>
      <c r="C866" s="31"/>
      <c r="D866" s="31"/>
      <c r="E866" s="35" t="str">
        <f aca="false">IF(OR(C866="",D866=""),"",MAX(1,D866-C866))</f>
        <v/>
      </c>
      <c r="F866" s="32"/>
      <c r="G866" s="36" t="str">
        <f aca="false">IF(B866="","",IFERROR(IF(N(INDEX(Fleet!$N$5:$N$79,MATCH(B866,Fleet!$A$5:$A$79,0)))&gt;0,INDEX(Fleet!$N$5:$N$79,MATCH(B866,Fleet!$A$5:$A$79,0)),Assumptions!$B$7),Assumptions!$B$7))</f>
        <v/>
      </c>
      <c r="H866" s="34" t="str">
        <f aca="false">IF(OR(F866="",G866=""),"",F866*G866)</f>
        <v/>
      </c>
      <c r="I866" s="32"/>
      <c r="J866" s="32"/>
      <c r="K866" s="37"/>
      <c r="L866" s="38" t="str">
        <f aca="false">IF(C866="","",DATE(YEAR(C866),MONTH(C866),1))</f>
        <v/>
      </c>
      <c r="M866" s="34" t="str">
        <f aca="false">IF(F866="","",N(H866)+N(I866)-N(J866))</f>
        <v/>
      </c>
      <c r="N866" s="29"/>
    </row>
    <row r="867" customFormat="false" ht="15" hidden="false" customHeight="false" outlineLevel="0" collapsed="false">
      <c r="A867" s="29"/>
      <c r="B867" s="29"/>
      <c r="C867" s="31"/>
      <c r="D867" s="31"/>
      <c r="E867" s="35" t="str">
        <f aca="false">IF(OR(C867="",D867=""),"",MAX(1,D867-C867))</f>
        <v/>
      </c>
      <c r="F867" s="32"/>
      <c r="G867" s="36" t="str">
        <f aca="false">IF(B867="","",IFERROR(IF(N(INDEX(Fleet!$N$5:$N$79,MATCH(B867,Fleet!$A$5:$A$79,0)))&gt;0,INDEX(Fleet!$N$5:$N$79,MATCH(B867,Fleet!$A$5:$A$79,0)),Assumptions!$B$7),Assumptions!$B$7))</f>
        <v/>
      </c>
      <c r="H867" s="34" t="str">
        <f aca="false">IF(OR(F867="",G867=""),"",F867*G867)</f>
        <v/>
      </c>
      <c r="I867" s="32"/>
      <c r="J867" s="32"/>
      <c r="K867" s="37"/>
      <c r="L867" s="38" t="str">
        <f aca="false">IF(C867="","",DATE(YEAR(C867),MONTH(C867),1))</f>
        <v/>
      </c>
      <c r="M867" s="34" t="str">
        <f aca="false">IF(F867="","",N(H867)+N(I867)-N(J867))</f>
        <v/>
      </c>
      <c r="N867" s="29"/>
    </row>
    <row r="868" customFormat="false" ht="15" hidden="false" customHeight="false" outlineLevel="0" collapsed="false">
      <c r="A868" s="29"/>
      <c r="B868" s="29"/>
      <c r="C868" s="31"/>
      <c r="D868" s="31"/>
      <c r="E868" s="35" t="str">
        <f aca="false">IF(OR(C868="",D868=""),"",MAX(1,D868-C868))</f>
        <v/>
      </c>
      <c r="F868" s="32"/>
      <c r="G868" s="36" t="str">
        <f aca="false">IF(B868="","",IFERROR(IF(N(INDEX(Fleet!$N$5:$N$79,MATCH(B868,Fleet!$A$5:$A$79,0)))&gt;0,INDEX(Fleet!$N$5:$N$79,MATCH(B868,Fleet!$A$5:$A$79,0)),Assumptions!$B$7),Assumptions!$B$7))</f>
        <v/>
      </c>
      <c r="H868" s="34" t="str">
        <f aca="false">IF(OR(F868="",G868=""),"",F868*G868)</f>
        <v/>
      </c>
      <c r="I868" s="32"/>
      <c r="J868" s="32"/>
      <c r="K868" s="37"/>
      <c r="L868" s="38" t="str">
        <f aca="false">IF(C868="","",DATE(YEAR(C868),MONTH(C868),1))</f>
        <v/>
      </c>
      <c r="M868" s="34" t="str">
        <f aca="false">IF(F868="","",N(H868)+N(I868)-N(J868))</f>
        <v/>
      </c>
      <c r="N868" s="29"/>
    </row>
    <row r="869" customFormat="false" ht="15" hidden="false" customHeight="false" outlineLevel="0" collapsed="false">
      <c r="A869" s="29"/>
      <c r="B869" s="29"/>
      <c r="C869" s="31"/>
      <c r="D869" s="31"/>
      <c r="E869" s="35" t="str">
        <f aca="false">IF(OR(C869="",D869=""),"",MAX(1,D869-C869))</f>
        <v/>
      </c>
      <c r="F869" s="32"/>
      <c r="G869" s="36" t="str">
        <f aca="false">IF(B869="","",IFERROR(IF(N(INDEX(Fleet!$N$5:$N$79,MATCH(B869,Fleet!$A$5:$A$79,0)))&gt;0,INDEX(Fleet!$N$5:$N$79,MATCH(B869,Fleet!$A$5:$A$79,0)),Assumptions!$B$7),Assumptions!$B$7))</f>
        <v/>
      </c>
      <c r="H869" s="34" t="str">
        <f aca="false">IF(OR(F869="",G869=""),"",F869*G869)</f>
        <v/>
      </c>
      <c r="I869" s="32"/>
      <c r="J869" s="32"/>
      <c r="K869" s="37"/>
      <c r="L869" s="38" t="str">
        <f aca="false">IF(C869="","",DATE(YEAR(C869),MONTH(C869),1))</f>
        <v/>
      </c>
      <c r="M869" s="34" t="str">
        <f aca="false">IF(F869="","",N(H869)+N(I869)-N(J869))</f>
        <v/>
      </c>
      <c r="N869" s="29"/>
    </row>
    <row r="870" customFormat="false" ht="15" hidden="false" customHeight="false" outlineLevel="0" collapsed="false">
      <c r="A870" s="29"/>
      <c r="B870" s="29"/>
      <c r="C870" s="31"/>
      <c r="D870" s="31"/>
      <c r="E870" s="35" t="str">
        <f aca="false">IF(OR(C870="",D870=""),"",MAX(1,D870-C870))</f>
        <v/>
      </c>
      <c r="F870" s="32"/>
      <c r="G870" s="36" t="str">
        <f aca="false">IF(B870="","",IFERROR(IF(N(INDEX(Fleet!$N$5:$N$79,MATCH(B870,Fleet!$A$5:$A$79,0)))&gt;0,INDEX(Fleet!$N$5:$N$79,MATCH(B870,Fleet!$A$5:$A$79,0)),Assumptions!$B$7),Assumptions!$B$7))</f>
        <v/>
      </c>
      <c r="H870" s="34" t="str">
        <f aca="false">IF(OR(F870="",G870=""),"",F870*G870)</f>
        <v/>
      </c>
      <c r="I870" s="32"/>
      <c r="J870" s="32"/>
      <c r="K870" s="37"/>
      <c r="L870" s="38" t="str">
        <f aca="false">IF(C870="","",DATE(YEAR(C870),MONTH(C870),1))</f>
        <v/>
      </c>
      <c r="M870" s="34" t="str">
        <f aca="false">IF(F870="","",N(H870)+N(I870)-N(J870))</f>
        <v/>
      </c>
      <c r="N870" s="29"/>
    </row>
    <row r="871" customFormat="false" ht="15" hidden="false" customHeight="false" outlineLevel="0" collapsed="false">
      <c r="A871" s="29"/>
      <c r="B871" s="29"/>
      <c r="C871" s="31"/>
      <c r="D871" s="31"/>
      <c r="E871" s="35" t="str">
        <f aca="false">IF(OR(C871="",D871=""),"",MAX(1,D871-C871))</f>
        <v/>
      </c>
      <c r="F871" s="32"/>
      <c r="G871" s="36" t="str">
        <f aca="false">IF(B871="","",IFERROR(IF(N(INDEX(Fleet!$N$5:$N$79,MATCH(B871,Fleet!$A$5:$A$79,0)))&gt;0,INDEX(Fleet!$N$5:$N$79,MATCH(B871,Fleet!$A$5:$A$79,0)),Assumptions!$B$7),Assumptions!$B$7))</f>
        <v/>
      </c>
      <c r="H871" s="34" t="str">
        <f aca="false">IF(OR(F871="",G871=""),"",F871*G871)</f>
        <v/>
      </c>
      <c r="I871" s="32"/>
      <c r="J871" s="32"/>
      <c r="K871" s="37"/>
      <c r="L871" s="38" t="str">
        <f aca="false">IF(C871="","",DATE(YEAR(C871),MONTH(C871),1))</f>
        <v/>
      </c>
      <c r="M871" s="34" t="str">
        <f aca="false">IF(F871="","",N(H871)+N(I871)-N(J871))</f>
        <v/>
      </c>
      <c r="N871" s="29"/>
    </row>
    <row r="872" customFormat="false" ht="15" hidden="false" customHeight="false" outlineLevel="0" collapsed="false">
      <c r="A872" s="29"/>
      <c r="B872" s="29"/>
      <c r="C872" s="31"/>
      <c r="D872" s="31"/>
      <c r="E872" s="35" t="str">
        <f aca="false">IF(OR(C872="",D872=""),"",MAX(1,D872-C872))</f>
        <v/>
      </c>
      <c r="F872" s="32"/>
      <c r="G872" s="36" t="str">
        <f aca="false">IF(B872="","",IFERROR(IF(N(INDEX(Fleet!$N$5:$N$79,MATCH(B872,Fleet!$A$5:$A$79,0)))&gt;0,INDEX(Fleet!$N$5:$N$79,MATCH(B872,Fleet!$A$5:$A$79,0)),Assumptions!$B$7),Assumptions!$B$7))</f>
        <v/>
      </c>
      <c r="H872" s="34" t="str">
        <f aca="false">IF(OR(F872="",G872=""),"",F872*G872)</f>
        <v/>
      </c>
      <c r="I872" s="32"/>
      <c r="J872" s="32"/>
      <c r="K872" s="37"/>
      <c r="L872" s="38" t="str">
        <f aca="false">IF(C872="","",DATE(YEAR(C872),MONTH(C872),1))</f>
        <v/>
      </c>
      <c r="M872" s="34" t="str">
        <f aca="false">IF(F872="","",N(H872)+N(I872)-N(J872))</f>
        <v/>
      </c>
      <c r="N872" s="29"/>
    </row>
    <row r="873" customFormat="false" ht="15" hidden="false" customHeight="false" outlineLevel="0" collapsed="false">
      <c r="A873" s="29"/>
      <c r="B873" s="29"/>
      <c r="C873" s="31"/>
      <c r="D873" s="31"/>
      <c r="E873" s="35" t="str">
        <f aca="false">IF(OR(C873="",D873=""),"",MAX(1,D873-C873))</f>
        <v/>
      </c>
      <c r="F873" s="32"/>
      <c r="G873" s="36" t="str">
        <f aca="false">IF(B873="","",IFERROR(IF(N(INDEX(Fleet!$N$5:$N$79,MATCH(B873,Fleet!$A$5:$A$79,0)))&gt;0,INDEX(Fleet!$N$5:$N$79,MATCH(B873,Fleet!$A$5:$A$79,0)),Assumptions!$B$7),Assumptions!$B$7))</f>
        <v/>
      </c>
      <c r="H873" s="34" t="str">
        <f aca="false">IF(OR(F873="",G873=""),"",F873*G873)</f>
        <v/>
      </c>
      <c r="I873" s="32"/>
      <c r="J873" s="32"/>
      <c r="K873" s="37"/>
      <c r="L873" s="38" t="str">
        <f aca="false">IF(C873="","",DATE(YEAR(C873),MONTH(C873),1))</f>
        <v/>
      </c>
      <c r="M873" s="34" t="str">
        <f aca="false">IF(F873="","",N(H873)+N(I873)-N(J873))</f>
        <v/>
      </c>
      <c r="N873" s="29"/>
    </row>
    <row r="874" customFormat="false" ht="15" hidden="false" customHeight="false" outlineLevel="0" collapsed="false">
      <c r="A874" s="29"/>
      <c r="B874" s="29"/>
      <c r="C874" s="31"/>
      <c r="D874" s="31"/>
      <c r="E874" s="35" t="str">
        <f aca="false">IF(OR(C874="",D874=""),"",MAX(1,D874-C874))</f>
        <v/>
      </c>
      <c r="F874" s="32"/>
      <c r="G874" s="36" t="str">
        <f aca="false">IF(B874="","",IFERROR(IF(N(INDEX(Fleet!$N$5:$N$79,MATCH(B874,Fleet!$A$5:$A$79,0)))&gt;0,INDEX(Fleet!$N$5:$N$79,MATCH(B874,Fleet!$A$5:$A$79,0)),Assumptions!$B$7),Assumptions!$B$7))</f>
        <v/>
      </c>
      <c r="H874" s="34" t="str">
        <f aca="false">IF(OR(F874="",G874=""),"",F874*G874)</f>
        <v/>
      </c>
      <c r="I874" s="32"/>
      <c r="J874" s="32"/>
      <c r="K874" s="37"/>
      <c r="L874" s="38" t="str">
        <f aca="false">IF(C874="","",DATE(YEAR(C874),MONTH(C874),1))</f>
        <v/>
      </c>
      <c r="M874" s="34" t="str">
        <f aca="false">IF(F874="","",N(H874)+N(I874)-N(J874))</f>
        <v/>
      </c>
      <c r="N874" s="29"/>
    </row>
    <row r="875" customFormat="false" ht="15" hidden="false" customHeight="false" outlineLevel="0" collapsed="false">
      <c r="A875" s="29"/>
      <c r="B875" s="29"/>
      <c r="C875" s="31"/>
      <c r="D875" s="31"/>
      <c r="E875" s="35" t="str">
        <f aca="false">IF(OR(C875="",D875=""),"",MAX(1,D875-C875))</f>
        <v/>
      </c>
      <c r="F875" s="32"/>
      <c r="G875" s="36" t="str">
        <f aca="false">IF(B875="","",IFERROR(IF(N(INDEX(Fleet!$N$5:$N$79,MATCH(B875,Fleet!$A$5:$A$79,0)))&gt;0,INDEX(Fleet!$N$5:$N$79,MATCH(B875,Fleet!$A$5:$A$79,0)),Assumptions!$B$7),Assumptions!$B$7))</f>
        <v/>
      </c>
      <c r="H875" s="34" t="str">
        <f aca="false">IF(OR(F875="",G875=""),"",F875*G875)</f>
        <v/>
      </c>
      <c r="I875" s="32"/>
      <c r="J875" s="32"/>
      <c r="K875" s="37"/>
      <c r="L875" s="38" t="str">
        <f aca="false">IF(C875="","",DATE(YEAR(C875),MONTH(C875),1))</f>
        <v/>
      </c>
      <c r="M875" s="34" t="str">
        <f aca="false">IF(F875="","",N(H875)+N(I875)-N(J875))</f>
        <v/>
      </c>
      <c r="N875" s="29"/>
    </row>
    <row r="876" customFormat="false" ht="15" hidden="false" customHeight="false" outlineLevel="0" collapsed="false">
      <c r="A876" s="29"/>
      <c r="B876" s="29"/>
      <c r="C876" s="31"/>
      <c r="D876" s="31"/>
      <c r="E876" s="35" t="str">
        <f aca="false">IF(OR(C876="",D876=""),"",MAX(1,D876-C876))</f>
        <v/>
      </c>
      <c r="F876" s="32"/>
      <c r="G876" s="36" t="str">
        <f aca="false">IF(B876="","",IFERROR(IF(N(INDEX(Fleet!$N$5:$N$79,MATCH(B876,Fleet!$A$5:$A$79,0)))&gt;0,INDEX(Fleet!$N$5:$N$79,MATCH(B876,Fleet!$A$5:$A$79,0)),Assumptions!$B$7),Assumptions!$B$7))</f>
        <v/>
      </c>
      <c r="H876" s="34" t="str">
        <f aca="false">IF(OR(F876="",G876=""),"",F876*G876)</f>
        <v/>
      </c>
      <c r="I876" s="32"/>
      <c r="J876" s="32"/>
      <c r="K876" s="37"/>
      <c r="L876" s="38" t="str">
        <f aca="false">IF(C876="","",DATE(YEAR(C876),MONTH(C876),1))</f>
        <v/>
      </c>
      <c r="M876" s="34" t="str">
        <f aca="false">IF(F876="","",N(H876)+N(I876)-N(J876))</f>
        <v/>
      </c>
      <c r="N876" s="29"/>
    </row>
    <row r="877" customFormat="false" ht="15" hidden="false" customHeight="false" outlineLevel="0" collapsed="false">
      <c r="A877" s="29"/>
      <c r="B877" s="29"/>
      <c r="C877" s="31"/>
      <c r="D877" s="31"/>
      <c r="E877" s="35" t="str">
        <f aca="false">IF(OR(C877="",D877=""),"",MAX(1,D877-C877))</f>
        <v/>
      </c>
      <c r="F877" s="32"/>
      <c r="G877" s="36" t="str">
        <f aca="false">IF(B877="","",IFERROR(IF(N(INDEX(Fleet!$N$5:$N$79,MATCH(B877,Fleet!$A$5:$A$79,0)))&gt;0,INDEX(Fleet!$N$5:$N$79,MATCH(B877,Fleet!$A$5:$A$79,0)),Assumptions!$B$7),Assumptions!$B$7))</f>
        <v/>
      </c>
      <c r="H877" s="34" t="str">
        <f aca="false">IF(OR(F877="",G877=""),"",F877*G877)</f>
        <v/>
      </c>
      <c r="I877" s="32"/>
      <c r="J877" s="32"/>
      <c r="K877" s="37"/>
      <c r="L877" s="38" t="str">
        <f aca="false">IF(C877="","",DATE(YEAR(C877),MONTH(C877),1))</f>
        <v/>
      </c>
      <c r="M877" s="34" t="str">
        <f aca="false">IF(F877="","",N(H877)+N(I877)-N(J877))</f>
        <v/>
      </c>
      <c r="N877" s="29"/>
    </row>
    <row r="878" customFormat="false" ht="15" hidden="false" customHeight="false" outlineLevel="0" collapsed="false">
      <c r="A878" s="29"/>
      <c r="B878" s="29"/>
      <c r="C878" s="31"/>
      <c r="D878" s="31"/>
      <c r="E878" s="35" t="str">
        <f aca="false">IF(OR(C878="",D878=""),"",MAX(1,D878-C878))</f>
        <v/>
      </c>
      <c r="F878" s="32"/>
      <c r="G878" s="36" t="str">
        <f aca="false">IF(B878="","",IFERROR(IF(N(INDEX(Fleet!$N$5:$N$79,MATCH(B878,Fleet!$A$5:$A$79,0)))&gt;0,INDEX(Fleet!$N$5:$N$79,MATCH(B878,Fleet!$A$5:$A$79,0)),Assumptions!$B$7),Assumptions!$B$7))</f>
        <v/>
      </c>
      <c r="H878" s="34" t="str">
        <f aca="false">IF(OR(F878="",G878=""),"",F878*G878)</f>
        <v/>
      </c>
      <c r="I878" s="32"/>
      <c r="J878" s="32"/>
      <c r="K878" s="37"/>
      <c r="L878" s="38" t="str">
        <f aca="false">IF(C878="","",DATE(YEAR(C878),MONTH(C878),1))</f>
        <v/>
      </c>
      <c r="M878" s="34" t="str">
        <f aca="false">IF(F878="","",N(H878)+N(I878)-N(J878))</f>
        <v/>
      </c>
      <c r="N878" s="29"/>
    </row>
    <row r="879" customFormat="false" ht="15" hidden="false" customHeight="false" outlineLevel="0" collapsed="false">
      <c r="A879" s="29"/>
      <c r="B879" s="29"/>
      <c r="C879" s="31"/>
      <c r="D879" s="31"/>
      <c r="E879" s="35" t="str">
        <f aca="false">IF(OR(C879="",D879=""),"",MAX(1,D879-C879))</f>
        <v/>
      </c>
      <c r="F879" s="32"/>
      <c r="G879" s="36" t="str">
        <f aca="false">IF(B879="","",IFERROR(IF(N(INDEX(Fleet!$N$5:$N$79,MATCH(B879,Fleet!$A$5:$A$79,0)))&gt;0,INDEX(Fleet!$N$5:$N$79,MATCH(B879,Fleet!$A$5:$A$79,0)),Assumptions!$B$7),Assumptions!$B$7))</f>
        <v/>
      </c>
      <c r="H879" s="34" t="str">
        <f aca="false">IF(OR(F879="",G879=""),"",F879*G879)</f>
        <v/>
      </c>
      <c r="I879" s="32"/>
      <c r="J879" s="32"/>
      <c r="K879" s="37"/>
      <c r="L879" s="38" t="str">
        <f aca="false">IF(C879="","",DATE(YEAR(C879),MONTH(C879),1))</f>
        <v/>
      </c>
      <c r="M879" s="34" t="str">
        <f aca="false">IF(F879="","",N(H879)+N(I879)-N(J879))</f>
        <v/>
      </c>
      <c r="N879" s="29"/>
    </row>
    <row r="880" customFormat="false" ht="15" hidden="false" customHeight="false" outlineLevel="0" collapsed="false">
      <c r="A880" s="29"/>
      <c r="B880" s="29"/>
      <c r="C880" s="31"/>
      <c r="D880" s="31"/>
      <c r="E880" s="35" t="str">
        <f aca="false">IF(OR(C880="",D880=""),"",MAX(1,D880-C880))</f>
        <v/>
      </c>
      <c r="F880" s="32"/>
      <c r="G880" s="36" t="str">
        <f aca="false">IF(B880="","",IFERROR(IF(N(INDEX(Fleet!$N$5:$N$79,MATCH(B880,Fleet!$A$5:$A$79,0)))&gt;0,INDEX(Fleet!$N$5:$N$79,MATCH(B880,Fleet!$A$5:$A$79,0)),Assumptions!$B$7),Assumptions!$B$7))</f>
        <v/>
      </c>
      <c r="H880" s="34" t="str">
        <f aca="false">IF(OR(F880="",G880=""),"",F880*G880)</f>
        <v/>
      </c>
      <c r="I880" s="32"/>
      <c r="J880" s="32"/>
      <c r="K880" s="37"/>
      <c r="L880" s="38" t="str">
        <f aca="false">IF(C880="","",DATE(YEAR(C880),MONTH(C880),1))</f>
        <v/>
      </c>
      <c r="M880" s="34" t="str">
        <f aca="false">IF(F880="","",N(H880)+N(I880)-N(J880))</f>
        <v/>
      </c>
      <c r="N880" s="29"/>
    </row>
    <row r="881" customFormat="false" ht="15" hidden="false" customHeight="false" outlineLevel="0" collapsed="false">
      <c r="A881" s="29"/>
      <c r="B881" s="29"/>
      <c r="C881" s="31"/>
      <c r="D881" s="31"/>
      <c r="E881" s="35" t="str">
        <f aca="false">IF(OR(C881="",D881=""),"",MAX(1,D881-C881))</f>
        <v/>
      </c>
      <c r="F881" s="32"/>
      <c r="G881" s="36" t="str">
        <f aca="false">IF(B881="","",IFERROR(IF(N(INDEX(Fleet!$N$5:$N$79,MATCH(B881,Fleet!$A$5:$A$79,0)))&gt;0,INDEX(Fleet!$N$5:$N$79,MATCH(B881,Fleet!$A$5:$A$79,0)),Assumptions!$B$7),Assumptions!$B$7))</f>
        <v/>
      </c>
      <c r="H881" s="34" t="str">
        <f aca="false">IF(OR(F881="",G881=""),"",F881*G881)</f>
        <v/>
      </c>
      <c r="I881" s="32"/>
      <c r="J881" s="32"/>
      <c r="K881" s="37"/>
      <c r="L881" s="38" t="str">
        <f aca="false">IF(C881="","",DATE(YEAR(C881),MONTH(C881),1))</f>
        <v/>
      </c>
      <c r="M881" s="34" t="str">
        <f aca="false">IF(F881="","",N(H881)+N(I881)-N(J881))</f>
        <v/>
      </c>
      <c r="N881" s="29"/>
    </row>
    <row r="882" customFormat="false" ht="15" hidden="false" customHeight="false" outlineLevel="0" collapsed="false">
      <c r="A882" s="29"/>
      <c r="B882" s="29"/>
      <c r="C882" s="31"/>
      <c r="D882" s="31"/>
      <c r="E882" s="35" t="str">
        <f aca="false">IF(OR(C882="",D882=""),"",MAX(1,D882-C882))</f>
        <v/>
      </c>
      <c r="F882" s="32"/>
      <c r="G882" s="36" t="str">
        <f aca="false">IF(B882="","",IFERROR(IF(N(INDEX(Fleet!$N$5:$N$79,MATCH(B882,Fleet!$A$5:$A$79,0)))&gt;0,INDEX(Fleet!$N$5:$N$79,MATCH(B882,Fleet!$A$5:$A$79,0)),Assumptions!$B$7),Assumptions!$B$7))</f>
        <v/>
      </c>
      <c r="H882" s="34" t="str">
        <f aca="false">IF(OR(F882="",G882=""),"",F882*G882)</f>
        <v/>
      </c>
      <c r="I882" s="32"/>
      <c r="J882" s="32"/>
      <c r="K882" s="37"/>
      <c r="L882" s="38" t="str">
        <f aca="false">IF(C882="","",DATE(YEAR(C882),MONTH(C882),1))</f>
        <v/>
      </c>
      <c r="M882" s="34" t="str">
        <f aca="false">IF(F882="","",N(H882)+N(I882)-N(J882))</f>
        <v/>
      </c>
      <c r="N882" s="29"/>
    </row>
    <row r="883" customFormat="false" ht="15" hidden="false" customHeight="false" outlineLevel="0" collapsed="false">
      <c r="A883" s="29"/>
      <c r="B883" s="29"/>
      <c r="C883" s="31"/>
      <c r="D883" s="31"/>
      <c r="E883" s="35" t="str">
        <f aca="false">IF(OR(C883="",D883=""),"",MAX(1,D883-C883))</f>
        <v/>
      </c>
      <c r="F883" s="32"/>
      <c r="G883" s="36" t="str">
        <f aca="false">IF(B883="","",IFERROR(IF(N(INDEX(Fleet!$N$5:$N$79,MATCH(B883,Fleet!$A$5:$A$79,0)))&gt;0,INDEX(Fleet!$N$5:$N$79,MATCH(B883,Fleet!$A$5:$A$79,0)),Assumptions!$B$7),Assumptions!$B$7))</f>
        <v/>
      </c>
      <c r="H883" s="34" t="str">
        <f aca="false">IF(OR(F883="",G883=""),"",F883*G883)</f>
        <v/>
      </c>
      <c r="I883" s="32"/>
      <c r="J883" s="32"/>
      <c r="K883" s="37"/>
      <c r="L883" s="38" t="str">
        <f aca="false">IF(C883="","",DATE(YEAR(C883),MONTH(C883),1))</f>
        <v/>
      </c>
      <c r="M883" s="34" t="str">
        <f aca="false">IF(F883="","",N(H883)+N(I883)-N(J883))</f>
        <v/>
      </c>
      <c r="N883" s="29"/>
    </row>
    <row r="884" customFormat="false" ht="15" hidden="false" customHeight="false" outlineLevel="0" collapsed="false">
      <c r="A884" s="29"/>
      <c r="B884" s="29"/>
      <c r="C884" s="31"/>
      <c r="D884" s="31"/>
      <c r="E884" s="35" t="str">
        <f aca="false">IF(OR(C884="",D884=""),"",MAX(1,D884-C884))</f>
        <v/>
      </c>
      <c r="F884" s="32"/>
      <c r="G884" s="36" t="str">
        <f aca="false">IF(B884="","",IFERROR(IF(N(INDEX(Fleet!$N$5:$N$79,MATCH(B884,Fleet!$A$5:$A$79,0)))&gt;0,INDEX(Fleet!$N$5:$N$79,MATCH(B884,Fleet!$A$5:$A$79,0)),Assumptions!$B$7),Assumptions!$B$7))</f>
        <v/>
      </c>
      <c r="H884" s="34" t="str">
        <f aca="false">IF(OR(F884="",G884=""),"",F884*G884)</f>
        <v/>
      </c>
      <c r="I884" s="32"/>
      <c r="J884" s="32"/>
      <c r="K884" s="37"/>
      <c r="L884" s="38" t="str">
        <f aca="false">IF(C884="","",DATE(YEAR(C884),MONTH(C884),1))</f>
        <v/>
      </c>
      <c r="M884" s="34" t="str">
        <f aca="false">IF(F884="","",N(H884)+N(I884)-N(J884))</f>
        <v/>
      </c>
      <c r="N884" s="29"/>
    </row>
    <row r="885" customFormat="false" ht="15" hidden="false" customHeight="false" outlineLevel="0" collapsed="false">
      <c r="A885" s="29"/>
      <c r="B885" s="29"/>
      <c r="C885" s="31"/>
      <c r="D885" s="31"/>
      <c r="E885" s="35" t="str">
        <f aca="false">IF(OR(C885="",D885=""),"",MAX(1,D885-C885))</f>
        <v/>
      </c>
      <c r="F885" s="32"/>
      <c r="G885" s="36" t="str">
        <f aca="false">IF(B885="","",IFERROR(IF(N(INDEX(Fleet!$N$5:$N$79,MATCH(B885,Fleet!$A$5:$A$79,0)))&gt;0,INDEX(Fleet!$N$5:$N$79,MATCH(B885,Fleet!$A$5:$A$79,0)),Assumptions!$B$7),Assumptions!$B$7))</f>
        <v/>
      </c>
      <c r="H885" s="34" t="str">
        <f aca="false">IF(OR(F885="",G885=""),"",F885*G885)</f>
        <v/>
      </c>
      <c r="I885" s="32"/>
      <c r="J885" s="32"/>
      <c r="K885" s="37"/>
      <c r="L885" s="38" t="str">
        <f aca="false">IF(C885="","",DATE(YEAR(C885),MONTH(C885),1))</f>
        <v/>
      </c>
      <c r="M885" s="34" t="str">
        <f aca="false">IF(F885="","",N(H885)+N(I885)-N(J885))</f>
        <v/>
      </c>
      <c r="N885" s="29"/>
    </row>
    <row r="886" customFormat="false" ht="15" hidden="false" customHeight="false" outlineLevel="0" collapsed="false">
      <c r="A886" s="29"/>
      <c r="B886" s="29"/>
      <c r="C886" s="31"/>
      <c r="D886" s="31"/>
      <c r="E886" s="35" t="str">
        <f aca="false">IF(OR(C886="",D886=""),"",MAX(1,D886-C886))</f>
        <v/>
      </c>
      <c r="F886" s="32"/>
      <c r="G886" s="36" t="str">
        <f aca="false">IF(B886="","",IFERROR(IF(N(INDEX(Fleet!$N$5:$N$79,MATCH(B886,Fleet!$A$5:$A$79,0)))&gt;0,INDEX(Fleet!$N$5:$N$79,MATCH(B886,Fleet!$A$5:$A$79,0)),Assumptions!$B$7),Assumptions!$B$7))</f>
        <v/>
      </c>
      <c r="H886" s="34" t="str">
        <f aca="false">IF(OR(F886="",G886=""),"",F886*G886)</f>
        <v/>
      </c>
      <c r="I886" s="32"/>
      <c r="J886" s="32"/>
      <c r="K886" s="37"/>
      <c r="L886" s="38" t="str">
        <f aca="false">IF(C886="","",DATE(YEAR(C886),MONTH(C886),1))</f>
        <v/>
      </c>
      <c r="M886" s="34" t="str">
        <f aca="false">IF(F886="","",N(H886)+N(I886)-N(J886))</f>
        <v/>
      </c>
      <c r="N886" s="29"/>
    </row>
    <row r="887" customFormat="false" ht="15" hidden="false" customHeight="false" outlineLevel="0" collapsed="false">
      <c r="A887" s="29"/>
      <c r="B887" s="29"/>
      <c r="C887" s="31"/>
      <c r="D887" s="31"/>
      <c r="E887" s="35" t="str">
        <f aca="false">IF(OR(C887="",D887=""),"",MAX(1,D887-C887))</f>
        <v/>
      </c>
      <c r="F887" s="32"/>
      <c r="G887" s="36" t="str">
        <f aca="false">IF(B887="","",IFERROR(IF(N(INDEX(Fleet!$N$5:$N$79,MATCH(B887,Fleet!$A$5:$A$79,0)))&gt;0,INDEX(Fleet!$N$5:$N$79,MATCH(B887,Fleet!$A$5:$A$79,0)),Assumptions!$B$7),Assumptions!$B$7))</f>
        <v/>
      </c>
      <c r="H887" s="34" t="str">
        <f aca="false">IF(OR(F887="",G887=""),"",F887*G887)</f>
        <v/>
      </c>
      <c r="I887" s="32"/>
      <c r="J887" s="32"/>
      <c r="K887" s="37"/>
      <c r="L887" s="38" t="str">
        <f aca="false">IF(C887="","",DATE(YEAR(C887),MONTH(C887),1))</f>
        <v/>
      </c>
      <c r="M887" s="34" t="str">
        <f aca="false">IF(F887="","",N(H887)+N(I887)-N(J887))</f>
        <v/>
      </c>
      <c r="N887" s="29"/>
    </row>
    <row r="888" customFormat="false" ht="15" hidden="false" customHeight="false" outlineLevel="0" collapsed="false">
      <c r="A888" s="29"/>
      <c r="B888" s="29"/>
      <c r="C888" s="31"/>
      <c r="D888" s="31"/>
      <c r="E888" s="35" t="str">
        <f aca="false">IF(OR(C888="",D888=""),"",MAX(1,D888-C888))</f>
        <v/>
      </c>
      <c r="F888" s="32"/>
      <c r="G888" s="36" t="str">
        <f aca="false">IF(B888="","",IFERROR(IF(N(INDEX(Fleet!$N$5:$N$79,MATCH(B888,Fleet!$A$5:$A$79,0)))&gt;0,INDEX(Fleet!$N$5:$N$79,MATCH(B888,Fleet!$A$5:$A$79,0)),Assumptions!$B$7),Assumptions!$B$7))</f>
        <v/>
      </c>
      <c r="H888" s="34" t="str">
        <f aca="false">IF(OR(F888="",G888=""),"",F888*G888)</f>
        <v/>
      </c>
      <c r="I888" s="32"/>
      <c r="J888" s="32"/>
      <c r="K888" s="37"/>
      <c r="L888" s="38" t="str">
        <f aca="false">IF(C888="","",DATE(YEAR(C888),MONTH(C888),1))</f>
        <v/>
      </c>
      <c r="M888" s="34" t="str">
        <f aca="false">IF(F888="","",N(H888)+N(I888)-N(J888))</f>
        <v/>
      </c>
      <c r="N888" s="29"/>
    </row>
    <row r="889" customFormat="false" ht="15" hidden="false" customHeight="false" outlineLevel="0" collapsed="false">
      <c r="A889" s="29"/>
      <c r="B889" s="29"/>
      <c r="C889" s="31"/>
      <c r="D889" s="31"/>
      <c r="E889" s="35" t="str">
        <f aca="false">IF(OR(C889="",D889=""),"",MAX(1,D889-C889))</f>
        <v/>
      </c>
      <c r="F889" s="32"/>
      <c r="G889" s="36" t="str">
        <f aca="false">IF(B889="","",IFERROR(IF(N(INDEX(Fleet!$N$5:$N$79,MATCH(B889,Fleet!$A$5:$A$79,0)))&gt;0,INDEX(Fleet!$N$5:$N$79,MATCH(B889,Fleet!$A$5:$A$79,0)),Assumptions!$B$7),Assumptions!$B$7))</f>
        <v/>
      </c>
      <c r="H889" s="34" t="str">
        <f aca="false">IF(OR(F889="",G889=""),"",F889*G889)</f>
        <v/>
      </c>
      <c r="I889" s="32"/>
      <c r="J889" s="32"/>
      <c r="K889" s="37"/>
      <c r="L889" s="38" t="str">
        <f aca="false">IF(C889="","",DATE(YEAR(C889),MONTH(C889),1))</f>
        <v/>
      </c>
      <c r="M889" s="34" t="str">
        <f aca="false">IF(F889="","",N(H889)+N(I889)-N(J889))</f>
        <v/>
      </c>
      <c r="N889" s="29"/>
    </row>
    <row r="890" customFormat="false" ht="15" hidden="false" customHeight="false" outlineLevel="0" collapsed="false">
      <c r="A890" s="29"/>
      <c r="B890" s="29"/>
      <c r="C890" s="31"/>
      <c r="D890" s="31"/>
      <c r="E890" s="35" t="str">
        <f aca="false">IF(OR(C890="",D890=""),"",MAX(1,D890-C890))</f>
        <v/>
      </c>
      <c r="F890" s="32"/>
      <c r="G890" s="36" t="str">
        <f aca="false">IF(B890="","",IFERROR(IF(N(INDEX(Fleet!$N$5:$N$79,MATCH(B890,Fleet!$A$5:$A$79,0)))&gt;0,INDEX(Fleet!$N$5:$N$79,MATCH(B890,Fleet!$A$5:$A$79,0)),Assumptions!$B$7),Assumptions!$B$7))</f>
        <v/>
      </c>
      <c r="H890" s="34" t="str">
        <f aca="false">IF(OR(F890="",G890=""),"",F890*G890)</f>
        <v/>
      </c>
      <c r="I890" s="32"/>
      <c r="J890" s="32"/>
      <c r="K890" s="37"/>
      <c r="L890" s="38" t="str">
        <f aca="false">IF(C890="","",DATE(YEAR(C890),MONTH(C890),1))</f>
        <v/>
      </c>
      <c r="M890" s="34" t="str">
        <f aca="false">IF(F890="","",N(H890)+N(I890)-N(J890))</f>
        <v/>
      </c>
      <c r="N890" s="29"/>
    </row>
    <row r="891" customFormat="false" ht="15" hidden="false" customHeight="false" outlineLevel="0" collapsed="false">
      <c r="A891" s="29"/>
      <c r="B891" s="29"/>
      <c r="C891" s="31"/>
      <c r="D891" s="31"/>
      <c r="E891" s="35" t="str">
        <f aca="false">IF(OR(C891="",D891=""),"",MAX(1,D891-C891))</f>
        <v/>
      </c>
      <c r="F891" s="32"/>
      <c r="G891" s="36" t="str">
        <f aca="false">IF(B891="","",IFERROR(IF(N(INDEX(Fleet!$N$5:$N$79,MATCH(B891,Fleet!$A$5:$A$79,0)))&gt;0,INDEX(Fleet!$N$5:$N$79,MATCH(B891,Fleet!$A$5:$A$79,0)),Assumptions!$B$7),Assumptions!$B$7))</f>
        <v/>
      </c>
      <c r="H891" s="34" t="str">
        <f aca="false">IF(OR(F891="",G891=""),"",F891*G891)</f>
        <v/>
      </c>
      <c r="I891" s="32"/>
      <c r="J891" s="32"/>
      <c r="K891" s="37"/>
      <c r="L891" s="38" t="str">
        <f aca="false">IF(C891="","",DATE(YEAR(C891),MONTH(C891),1))</f>
        <v/>
      </c>
      <c r="M891" s="34" t="str">
        <f aca="false">IF(F891="","",N(H891)+N(I891)-N(J891))</f>
        <v/>
      </c>
      <c r="N891" s="29"/>
    </row>
    <row r="892" customFormat="false" ht="15" hidden="false" customHeight="false" outlineLevel="0" collapsed="false">
      <c r="A892" s="29"/>
      <c r="B892" s="29"/>
      <c r="C892" s="31"/>
      <c r="D892" s="31"/>
      <c r="E892" s="35" t="str">
        <f aca="false">IF(OR(C892="",D892=""),"",MAX(1,D892-C892))</f>
        <v/>
      </c>
      <c r="F892" s="32"/>
      <c r="G892" s="36" t="str">
        <f aca="false">IF(B892="","",IFERROR(IF(N(INDEX(Fleet!$N$5:$N$79,MATCH(B892,Fleet!$A$5:$A$79,0)))&gt;0,INDEX(Fleet!$N$5:$N$79,MATCH(B892,Fleet!$A$5:$A$79,0)),Assumptions!$B$7),Assumptions!$B$7))</f>
        <v/>
      </c>
      <c r="H892" s="34" t="str">
        <f aca="false">IF(OR(F892="",G892=""),"",F892*G892)</f>
        <v/>
      </c>
      <c r="I892" s="32"/>
      <c r="J892" s="32"/>
      <c r="K892" s="37"/>
      <c r="L892" s="38" t="str">
        <f aca="false">IF(C892="","",DATE(YEAR(C892),MONTH(C892),1))</f>
        <v/>
      </c>
      <c r="M892" s="34" t="str">
        <f aca="false">IF(F892="","",N(H892)+N(I892)-N(J892))</f>
        <v/>
      </c>
      <c r="N892" s="29"/>
    </row>
    <row r="893" customFormat="false" ht="15" hidden="false" customHeight="false" outlineLevel="0" collapsed="false">
      <c r="A893" s="29"/>
      <c r="B893" s="29"/>
      <c r="C893" s="31"/>
      <c r="D893" s="31"/>
      <c r="E893" s="35" t="str">
        <f aca="false">IF(OR(C893="",D893=""),"",MAX(1,D893-C893))</f>
        <v/>
      </c>
      <c r="F893" s="32"/>
      <c r="G893" s="36" t="str">
        <f aca="false">IF(B893="","",IFERROR(IF(N(INDEX(Fleet!$N$5:$N$79,MATCH(B893,Fleet!$A$5:$A$79,0)))&gt;0,INDEX(Fleet!$N$5:$N$79,MATCH(B893,Fleet!$A$5:$A$79,0)),Assumptions!$B$7),Assumptions!$B$7))</f>
        <v/>
      </c>
      <c r="H893" s="34" t="str">
        <f aca="false">IF(OR(F893="",G893=""),"",F893*G893)</f>
        <v/>
      </c>
      <c r="I893" s="32"/>
      <c r="J893" s="32"/>
      <c r="K893" s="37"/>
      <c r="L893" s="38" t="str">
        <f aca="false">IF(C893="","",DATE(YEAR(C893),MONTH(C893),1))</f>
        <v/>
      </c>
      <c r="M893" s="34" t="str">
        <f aca="false">IF(F893="","",N(H893)+N(I893)-N(J893))</f>
        <v/>
      </c>
      <c r="N893" s="29"/>
    </row>
    <row r="894" customFormat="false" ht="15" hidden="false" customHeight="false" outlineLevel="0" collapsed="false">
      <c r="A894" s="29"/>
      <c r="B894" s="29"/>
      <c r="C894" s="31"/>
      <c r="D894" s="31"/>
      <c r="E894" s="35" t="str">
        <f aca="false">IF(OR(C894="",D894=""),"",MAX(1,D894-C894))</f>
        <v/>
      </c>
      <c r="F894" s="32"/>
      <c r="G894" s="36" t="str">
        <f aca="false">IF(B894="","",IFERROR(IF(N(INDEX(Fleet!$N$5:$N$79,MATCH(B894,Fleet!$A$5:$A$79,0)))&gt;0,INDEX(Fleet!$N$5:$N$79,MATCH(B894,Fleet!$A$5:$A$79,0)),Assumptions!$B$7),Assumptions!$B$7))</f>
        <v/>
      </c>
      <c r="H894" s="34" t="str">
        <f aca="false">IF(OR(F894="",G894=""),"",F894*G894)</f>
        <v/>
      </c>
      <c r="I894" s="32"/>
      <c r="J894" s="32"/>
      <c r="K894" s="37"/>
      <c r="L894" s="38" t="str">
        <f aca="false">IF(C894="","",DATE(YEAR(C894),MONTH(C894),1))</f>
        <v/>
      </c>
      <c r="M894" s="34" t="str">
        <f aca="false">IF(F894="","",N(H894)+N(I894)-N(J894))</f>
        <v/>
      </c>
      <c r="N894" s="29"/>
    </row>
    <row r="895" customFormat="false" ht="15" hidden="false" customHeight="false" outlineLevel="0" collapsed="false">
      <c r="A895" s="29"/>
      <c r="B895" s="29"/>
      <c r="C895" s="31"/>
      <c r="D895" s="31"/>
      <c r="E895" s="35" t="str">
        <f aca="false">IF(OR(C895="",D895=""),"",MAX(1,D895-C895))</f>
        <v/>
      </c>
      <c r="F895" s="32"/>
      <c r="G895" s="36" t="str">
        <f aca="false">IF(B895="","",IFERROR(IF(N(INDEX(Fleet!$N$5:$N$79,MATCH(B895,Fleet!$A$5:$A$79,0)))&gt;0,INDEX(Fleet!$N$5:$N$79,MATCH(B895,Fleet!$A$5:$A$79,0)),Assumptions!$B$7),Assumptions!$B$7))</f>
        <v/>
      </c>
      <c r="H895" s="34" t="str">
        <f aca="false">IF(OR(F895="",G895=""),"",F895*G895)</f>
        <v/>
      </c>
      <c r="I895" s="32"/>
      <c r="J895" s="32"/>
      <c r="K895" s="37"/>
      <c r="L895" s="38" t="str">
        <f aca="false">IF(C895="","",DATE(YEAR(C895),MONTH(C895),1))</f>
        <v/>
      </c>
      <c r="M895" s="34" t="str">
        <f aca="false">IF(F895="","",N(H895)+N(I895)-N(J895))</f>
        <v/>
      </c>
      <c r="N895" s="29"/>
    </row>
    <row r="896" customFormat="false" ht="15" hidden="false" customHeight="false" outlineLevel="0" collapsed="false">
      <c r="A896" s="29"/>
      <c r="B896" s="29"/>
      <c r="C896" s="31"/>
      <c r="D896" s="31"/>
      <c r="E896" s="35" t="str">
        <f aca="false">IF(OR(C896="",D896=""),"",MAX(1,D896-C896))</f>
        <v/>
      </c>
      <c r="F896" s="32"/>
      <c r="G896" s="36" t="str">
        <f aca="false">IF(B896="","",IFERROR(IF(N(INDEX(Fleet!$N$5:$N$79,MATCH(B896,Fleet!$A$5:$A$79,0)))&gt;0,INDEX(Fleet!$N$5:$N$79,MATCH(B896,Fleet!$A$5:$A$79,0)),Assumptions!$B$7),Assumptions!$B$7))</f>
        <v/>
      </c>
      <c r="H896" s="34" t="str">
        <f aca="false">IF(OR(F896="",G896=""),"",F896*G896)</f>
        <v/>
      </c>
      <c r="I896" s="32"/>
      <c r="J896" s="32"/>
      <c r="K896" s="37"/>
      <c r="L896" s="38" t="str">
        <f aca="false">IF(C896="","",DATE(YEAR(C896),MONTH(C896),1))</f>
        <v/>
      </c>
      <c r="M896" s="34" t="str">
        <f aca="false">IF(F896="","",N(H896)+N(I896)-N(J896))</f>
        <v/>
      </c>
      <c r="N896" s="29"/>
    </row>
    <row r="897" customFormat="false" ht="15" hidden="false" customHeight="false" outlineLevel="0" collapsed="false">
      <c r="A897" s="29"/>
      <c r="B897" s="29"/>
      <c r="C897" s="31"/>
      <c r="D897" s="31"/>
      <c r="E897" s="35" t="str">
        <f aca="false">IF(OR(C897="",D897=""),"",MAX(1,D897-C897))</f>
        <v/>
      </c>
      <c r="F897" s="32"/>
      <c r="G897" s="36" t="str">
        <f aca="false">IF(B897="","",IFERROR(IF(N(INDEX(Fleet!$N$5:$N$79,MATCH(B897,Fleet!$A$5:$A$79,0)))&gt;0,INDEX(Fleet!$N$5:$N$79,MATCH(B897,Fleet!$A$5:$A$79,0)),Assumptions!$B$7),Assumptions!$B$7))</f>
        <v/>
      </c>
      <c r="H897" s="34" t="str">
        <f aca="false">IF(OR(F897="",G897=""),"",F897*G897)</f>
        <v/>
      </c>
      <c r="I897" s="32"/>
      <c r="J897" s="32"/>
      <c r="K897" s="37"/>
      <c r="L897" s="38" t="str">
        <f aca="false">IF(C897="","",DATE(YEAR(C897),MONTH(C897),1))</f>
        <v/>
      </c>
      <c r="M897" s="34" t="str">
        <f aca="false">IF(F897="","",N(H897)+N(I897)-N(J897))</f>
        <v/>
      </c>
      <c r="N897" s="29"/>
    </row>
    <row r="898" customFormat="false" ht="15" hidden="false" customHeight="false" outlineLevel="0" collapsed="false">
      <c r="A898" s="29"/>
      <c r="B898" s="29"/>
      <c r="C898" s="31"/>
      <c r="D898" s="31"/>
      <c r="E898" s="35" t="str">
        <f aca="false">IF(OR(C898="",D898=""),"",MAX(1,D898-C898))</f>
        <v/>
      </c>
      <c r="F898" s="32"/>
      <c r="G898" s="36" t="str">
        <f aca="false">IF(B898="","",IFERROR(IF(N(INDEX(Fleet!$N$5:$N$79,MATCH(B898,Fleet!$A$5:$A$79,0)))&gt;0,INDEX(Fleet!$N$5:$N$79,MATCH(B898,Fleet!$A$5:$A$79,0)),Assumptions!$B$7),Assumptions!$B$7))</f>
        <v/>
      </c>
      <c r="H898" s="34" t="str">
        <f aca="false">IF(OR(F898="",G898=""),"",F898*G898)</f>
        <v/>
      </c>
      <c r="I898" s="32"/>
      <c r="J898" s="32"/>
      <c r="K898" s="37"/>
      <c r="L898" s="38" t="str">
        <f aca="false">IF(C898="","",DATE(YEAR(C898),MONTH(C898),1))</f>
        <v/>
      </c>
      <c r="M898" s="34" t="str">
        <f aca="false">IF(F898="","",N(H898)+N(I898)-N(J898))</f>
        <v/>
      </c>
      <c r="N898" s="29"/>
    </row>
    <row r="899" customFormat="false" ht="15" hidden="false" customHeight="false" outlineLevel="0" collapsed="false">
      <c r="A899" s="29"/>
      <c r="B899" s="29"/>
      <c r="C899" s="31"/>
      <c r="D899" s="31"/>
      <c r="E899" s="35" t="str">
        <f aca="false">IF(OR(C899="",D899=""),"",MAX(1,D899-C899))</f>
        <v/>
      </c>
      <c r="F899" s="32"/>
      <c r="G899" s="36" t="str">
        <f aca="false">IF(B899="","",IFERROR(IF(N(INDEX(Fleet!$N$5:$N$79,MATCH(B899,Fleet!$A$5:$A$79,0)))&gt;0,INDEX(Fleet!$N$5:$N$79,MATCH(B899,Fleet!$A$5:$A$79,0)),Assumptions!$B$7),Assumptions!$B$7))</f>
        <v/>
      </c>
      <c r="H899" s="34" t="str">
        <f aca="false">IF(OR(F899="",G899=""),"",F899*G899)</f>
        <v/>
      </c>
      <c r="I899" s="32"/>
      <c r="J899" s="32"/>
      <c r="K899" s="37"/>
      <c r="L899" s="38" t="str">
        <f aca="false">IF(C899="","",DATE(YEAR(C899),MONTH(C899),1))</f>
        <v/>
      </c>
      <c r="M899" s="34" t="str">
        <f aca="false">IF(F899="","",N(H899)+N(I899)-N(J899))</f>
        <v/>
      </c>
      <c r="N899" s="29"/>
    </row>
    <row r="900" customFormat="false" ht="15" hidden="false" customHeight="false" outlineLevel="0" collapsed="false">
      <c r="A900" s="29"/>
      <c r="B900" s="29"/>
      <c r="C900" s="31"/>
      <c r="D900" s="31"/>
      <c r="E900" s="35" t="str">
        <f aca="false">IF(OR(C900="",D900=""),"",MAX(1,D900-C900))</f>
        <v/>
      </c>
      <c r="F900" s="32"/>
      <c r="G900" s="36" t="str">
        <f aca="false">IF(B900="","",IFERROR(IF(N(INDEX(Fleet!$N$5:$N$79,MATCH(B900,Fleet!$A$5:$A$79,0)))&gt;0,INDEX(Fleet!$N$5:$N$79,MATCH(B900,Fleet!$A$5:$A$79,0)),Assumptions!$B$7),Assumptions!$B$7))</f>
        <v/>
      </c>
      <c r="H900" s="34" t="str">
        <f aca="false">IF(OR(F900="",G900=""),"",F900*G900)</f>
        <v/>
      </c>
      <c r="I900" s="32"/>
      <c r="J900" s="32"/>
      <c r="K900" s="37"/>
      <c r="L900" s="38" t="str">
        <f aca="false">IF(C900="","",DATE(YEAR(C900),MONTH(C900),1))</f>
        <v/>
      </c>
      <c r="M900" s="34" t="str">
        <f aca="false">IF(F900="","",N(H900)+N(I900)-N(J900))</f>
        <v/>
      </c>
      <c r="N900" s="29"/>
    </row>
    <row r="901" customFormat="false" ht="15" hidden="false" customHeight="false" outlineLevel="0" collapsed="false">
      <c r="A901" s="29"/>
      <c r="B901" s="29"/>
      <c r="C901" s="31"/>
      <c r="D901" s="31"/>
      <c r="E901" s="35" t="str">
        <f aca="false">IF(OR(C901="",D901=""),"",MAX(1,D901-C901))</f>
        <v/>
      </c>
      <c r="F901" s="32"/>
      <c r="G901" s="36" t="str">
        <f aca="false">IF(B901="","",IFERROR(IF(N(INDEX(Fleet!$N$5:$N$79,MATCH(B901,Fleet!$A$5:$A$79,0)))&gt;0,INDEX(Fleet!$N$5:$N$79,MATCH(B901,Fleet!$A$5:$A$79,0)),Assumptions!$B$7),Assumptions!$B$7))</f>
        <v/>
      </c>
      <c r="H901" s="34" t="str">
        <f aca="false">IF(OR(F901="",G901=""),"",F901*G901)</f>
        <v/>
      </c>
      <c r="I901" s="32"/>
      <c r="J901" s="32"/>
      <c r="K901" s="37"/>
      <c r="L901" s="38" t="str">
        <f aca="false">IF(C901="","",DATE(YEAR(C901),MONTH(C901),1))</f>
        <v/>
      </c>
      <c r="M901" s="34" t="str">
        <f aca="false">IF(F901="","",N(H901)+N(I901)-N(J901))</f>
        <v/>
      </c>
      <c r="N901" s="29"/>
    </row>
    <row r="902" customFormat="false" ht="15" hidden="false" customHeight="false" outlineLevel="0" collapsed="false">
      <c r="A902" s="29"/>
      <c r="B902" s="29"/>
      <c r="C902" s="31"/>
      <c r="D902" s="31"/>
      <c r="E902" s="35" t="str">
        <f aca="false">IF(OR(C902="",D902=""),"",MAX(1,D902-C902))</f>
        <v/>
      </c>
      <c r="F902" s="32"/>
      <c r="G902" s="36" t="str">
        <f aca="false">IF(B902="","",IFERROR(IF(N(INDEX(Fleet!$N$5:$N$79,MATCH(B902,Fleet!$A$5:$A$79,0)))&gt;0,INDEX(Fleet!$N$5:$N$79,MATCH(B902,Fleet!$A$5:$A$79,0)),Assumptions!$B$7),Assumptions!$B$7))</f>
        <v/>
      </c>
      <c r="H902" s="34" t="str">
        <f aca="false">IF(OR(F902="",G902=""),"",F902*G902)</f>
        <v/>
      </c>
      <c r="I902" s="32"/>
      <c r="J902" s="32"/>
      <c r="K902" s="37"/>
      <c r="L902" s="38" t="str">
        <f aca="false">IF(C902="","",DATE(YEAR(C902),MONTH(C902),1))</f>
        <v/>
      </c>
      <c r="M902" s="34" t="str">
        <f aca="false">IF(F902="","",N(H902)+N(I902)-N(J902))</f>
        <v/>
      </c>
      <c r="N902" s="29"/>
    </row>
    <row r="903" customFormat="false" ht="15" hidden="false" customHeight="false" outlineLevel="0" collapsed="false">
      <c r="A903" s="29"/>
      <c r="B903" s="29"/>
      <c r="C903" s="31"/>
      <c r="D903" s="31"/>
      <c r="E903" s="35" t="str">
        <f aca="false">IF(OR(C903="",D903=""),"",MAX(1,D903-C903))</f>
        <v/>
      </c>
      <c r="F903" s="32"/>
      <c r="G903" s="36" t="str">
        <f aca="false">IF(B903="","",IFERROR(IF(N(INDEX(Fleet!$N$5:$N$79,MATCH(B903,Fleet!$A$5:$A$79,0)))&gt;0,INDEX(Fleet!$N$5:$N$79,MATCH(B903,Fleet!$A$5:$A$79,0)),Assumptions!$B$7),Assumptions!$B$7))</f>
        <v/>
      </c>
      <c r="H903" s="34" t="str">
        <f aca="false">IF(OR(F903="",G903=""),"",F903*G903)</f>
        <v/>
      </c>
      <c r="I903" s="32"/>
      <c r="J903" s="32"/>
      <c r="K903" s="37"/>
      <c r="L903" s="38" t="str">
        <f aca="false">IF(C903="","",DATE(YEAR(C903),MONTH(C903),1))</f>
        <v/>
      </c>
      <c r="M903" s="34" t="str">
        <f aca="false">IF(F903="","",N(H903)+N(I903)-N(J903))</f>
        <v/>
      </c>
      <c r="N903" s="29"/>
    </row>
    <row r="904" customFormat="false" ht="15" hidden="false" customHeight="false" outlineLevel="0" collapsed="false">
      <c r="A904" s="29"/>
      <c r="B904" s="29"/>
      <c r="C904" s="31"/>
      <c r="D904" s="31"/>
      <c r="E904" s="35" t="str">
        <f aca="false">IF(OR(C904="",D904=""),"",MAX(1,D904-C904))</f>
        <v/>
      </c>
      <c r="F904" s="32"/>
      <c r="G904" s="36" t="str">
        <f aca="false">IF(B904="","",IFERROR(IF(N(INDEX(Fleet!$N$5:$N$79,MATCH(B904,Fleet!$A$5:$A$79,0)))&gt;0,INDEX(Fleet!$N$5:$N$79,MATCH(B904,Fleet!$A$5:$A$79,0)),Assumptions!$B$7),Assumptions!$B$7))</f>
        <v/>
      </c>
      <c r="H904" s="34" t="str">
        <f aca="false">IF(OR(F904="",G904=""),"",F904*G904)</f>
        <v/>
      </c>
      <c r="I904" s="32"/>
      <c r="J904" s="32"/>
      <c r="K904" s="37"/>
      <c r="L904" s="38" t="str">
        <f aca="false">IF(C904="","",DATE(YEAR(C904),MONTH(C904),1))</f>
        <v/>
      </c>
      <c r="M904" s="34" t="str">
        <f aca="false">IF(F904="","",N(H904)+N(I904)-N(J904))</f>
        <v/>
      </c>
      <c r="N904" s="29"/>
    </row>
    <row r="905" customFormat="false" ht="15" hidden="false" customHeight="false" outlineLevel="0" collapsed="false">
      <c r="A905" s="29"/>
      <c r="B905" s="29"/>
      <c r="C905" s="31"/>
      <c r="D905" s="31"/>
      <c r="E905" s="35" t="str">
        <f aca="false">IF(OR(C905="",D905=""),"",MAX(1,D905-C905))</f>
        <v/>
      </c>
      <c r="F905" s="32"/>
      <c r="G905" s="36" t="str">
        <f aca="false">IF(B905="","",IFERROR(IF(N(INDEX(Fleet!$N$5:$N$79,MATCH(B905,Fleet!$A$5:$A$79,0)))&gt;0,INDEX(Fleet!$N$5:$N$79,MATCH(B905,Fleet!$A$5:$A$79,0)),Assumptions!$B$7),Assumptions!$B$7))</f>
        <v/>
      </c>
      <c r="H905" s="34" t="str">
        <f aca="false">IF(OR(F905="",G905=""),"",F905*G905)</f>
        <v/>
      </c>
      <c r="I905" s="32"/>
      <c r="J905" s="32"/>
      <c r="K905" s="37"/>
      <c r="L905" s="38" t="str">
        <f aca="false">IF(C905="","",DATE(YEAR(C905),MONTH(C905),1))</f>
        <v/>
      </c>
      <c r="M905" s="34" t="str">
        <f aca="false">IF(F905="","",N(H905)+N(I905)-N(J905))</f>
        <v/>
      </c>
      <c r="N905" s="29"/>
    </row>
    <row r="906" customFormat="false" ht="15" hidden="false" customHeight="false" outlineLevel="0" collapsed="false">
      <c r="A906" s="29"/>
      <c r="B906" s="29"/>
      <c r="C906" s="31"/>
      <c r="D906" s="31"/>
      <c r="E906" s="35" t="str">
        <f aca="false">IF(OR(C906="",D906=""),"",MAX(1,D906-C906))</f>
        <v/>
      </c>
      <c r="F906" s="32"/>
      <c r="G906" s="36" t="str">
        <f aca="false">IF(B906="","",IFERROR(IF(N(INDEX(Fleet!$N$5:$N$79,MATCH(B906,Fleet!$A$5:$A$79,0)))&gt;0,INDEX(Fleet!$N$5:$N$79,MATCH(B906,Fleet!$A$5:$A$79,0)),Assumptions!$B$7),Assumptions!$B$7))</f>
        <v/>
      </c>
      <c r="H906" s="34" t="str">
        <f aca="false">IF(OR(F906="",G906=""),"",F906*G906)</f>
        <v/>
      </c>
      <c r="I906" s="32"/>
      <c r="J906" s="32"/>
      <c r="K906" s="37"/>
      <c r="L906" s="38" t="str">
        <f aca="false">IF(C906="","",DATE(YEAR(C906),MONTH(C906),1))</f>
        <v/>
      </c>
      <c r="M906" s="34" t="str">
        <f aca="false">IF(F906="","",N(H906)+N(I906)-N(J906))</f>
        <v/>
      </c>
      <c r="N906" s="29"/>
    </row>
    <row r="907" customFormat="false" ht="15" hidden="false" customHeight="false" outlineLevel="0" collapsed="false">
      <c r="A907" s="29"/>
      <c r="B907" s="29"/>
      <c r="C907" s="31"/>
      <c r="D907" s="31"/>
      <c r="E907" s="35" t="str">
        <f aca="false">IF(OR(C907="",D907=""),"",MAX(1,D907-C907))</f>
        <v/>
      </c>
      <c r="F907" s="32"/>
      <c r="G907" s="36" t="str">
        <f aca="false">IF(B907="","",IFERROR(IF(N(INDEX(Fleet!$N$5:$N$79,MATCH(B907,Fleet!$A$5:$A$79,0)))&gt;0,INDEX(Fleet!$N$5:$N$79,MATCH(B907,Fleet!$A$5:$A$79,0)),Assumptions!$B$7),Assumptions!$B$7))</f>
        <v/>
      </c>
      <c r="H907" s="34" t="str">
        <f aca="false">IF(OR(F907="",G907=""),"",F907*G907)</f>
        <v/>
      </c>
      <c r="I907" s="32"/>
      <c r="J907" s="32"/>
      <c r="K907" s="37"/>
      <c r="L907" s="38" t="str">
        <f aca="false">IF(C907="","",DATE(YEAR(C907),MONTH(C907),1))</f>
        <v/>
      </c>
      <c r="M907" s="34" t="str">
        <f aca="false">IF(F907="","",N(H907)+N(I907)-N(J907))</f>
        <v/>
      </c>
      <c r="N907" s="29"/>
    </row>
    <row r="908" customFormat="false" ht="15" hidden="false" customHeight="false" outlineLevel="0" collapsed="false">
      <c r="A908" s="29"/>
      <c r="B908" s="29"/>
      <c r="C908" s="31"/>
      <c r="D908" s="31"/>
      <c r="E908" s="35" t="str">
        <f aca="false">IF(OR(C908="",D908=""),"",MAX(1,D908-C908))</f>
        <v/>
      </c>
      <c r="F908" s="32"/>
      <c r="G908" s="36" t="str">
        <f aca="false">IF(B908="","",IFERROR(IF(N(INDEX(Fleet!$N$5:$N$79,MATCH(B908,Fleet!$A$5:$A$79,0)))&gt;0,INDEX(Fleet!$N$5:$N$79,MATCH(B908,Fleet!$A$5:$A$79,0)),Assumptions!$B$7),Assumptions!$B$7))</f>
        <v/>
      </c>
      <c r="H908" s="34" t="str">
        <f aca="false">IF(OR(F908="",G908=""),"",F908*G908)</f>
        <v/>
      </c>
      <c r="I908" s="32"/>
      <c r="J908" s="32"/>
      <c r="K908" s="37"/>
      <c r="L908" s="38" t="str">
        <f aca="false">IF(C908="","",DATE(YEAR(C908),MONTH(C908),1))</f>
        <v/>
      </c>
      <c r="M908" s="34" t="str">
        <f aca="false">IF(F908="","",N(H908)+N(I908)-N(J908))</f>
        <v/>
      </c>
      <c r="N908" s="29"/>
    </row>
    <row r="909" customFormat="false" ht="15" hidden="false" customHeight="false" outlineLevel="0" collapsed="false">
      <c r="A909" s="29"/>
      <c r="B909" s="29"/>
      <c r="C909" s="31"/>
      <c r="D909" s="31"/>
      <c r="E909" s="35" t="str">
        <f aca="false">IF(OR(C909="",D909=""),"",MAX(1,D909-C909))</f>
        <v/>
      </c>
      <c r="F909" s="32"/>
      <c r="G909" s="36" t="str">
        <f aca="false">IF(B909="","",IFERROR(IF(N(INDEX(Fleet!$N$5:$N$79,MATCH(B909,Fleet!$A$5:$A$79,0)))&gt;0,INDEX(Fleet!$N$5:$N$79,MATCH(B909,Fleet!$A$5:$A$79,0)),Assumptions!$B$7),Assumptions!$B$7))</f>
        <v/>
      </c>
      <c r="H909" s="34" t="str">
        <f aca="false">IF(OR(F909="",G909=""),"",F909*G909)</f>
        <v/>
      </c>
      <c r="I909" s="32"/>
      <c r="J909" s="32"/>
      <c r="K909" s="37"/>
      <c r="L909" s="38" t="str">
        <f aca="false">IF(C909="","",DATE(YEAR(C909),MONTH(C909),1))</f>
        <v/>
      </c>
      <c r="M909" s="34" t="str">
        <f aca="false">IF(F909="","",N(H909)+N(I909)-N(J909))</f>
        <v/>
      </c>
      <c r="N909" s="29"/>
    </row>
    <row r="910" customFormat="false" ht="15" hidden="false" customHeight="false" outlineLevel="0" collapsed="false">
      <c r="A910" s="29"/>
      <c r="B910" s="29"/>
      <c r="C910" s="31"/>
      <c r="D910" s="31"/>
      <c r="E910" s="35" t="str">
        <f aca="false">IF(OR(C910="",D910=""),"",MAX(1,D910-C910))</f>
        <v/>
      </c>
      <c r="F910" s="32"/>
      <c r="G910" s="36" t="str">
        <f aca="false">IF(B910="","",IFERROR(IF(N(INDEX(Fleet!$N$5:$N$79,MATCH(B910,Fleet!$A$5:$A$79,0)))&gt;0,INDEX(Fleet!$N$5:$N$79,MATCH(B910,Fleet!$A$5:$A$79,0)),Assumptions!$B$7),Assumptions!$B$7))</f>
        <v/>
      </c>
      <c r="H910" s="34" t="str">
        <f aca="false">IF(OR(F910="",G910=""),"",F910*G910)</f>
        <v/>
      </c>
      <c r="I910" s="32"/>
      <c r="J910" s="32"/>
      <c r="K910" s="37"/>
      <c r="L910" s="38" t="str">
        <f aca="false">IF(C910="","",DATE(YEAR(C910),MONTH(C910),1))</f>
        <v/>
      </c>
      <c r="M910" s="34" t="str">
        <f aca="false">IF(F910="","",N(H910)+N(I910)-N(J910))</f>
        <v/>
      </c>
      <c r="N910" s="29"/>
    </row>
    <row r="911" customFormat="false" ht="15" hidden="false" customHeight="false" outlineLevel="0" collapsed="false">
      <c r="A911" s="29"/>
      <c r="B911" s="29"/>
      <c r="C911" s="31"/>
      <c r="D911" s="31"/>
      <c r="E911" s="35" t="str">
        <f aca="false">IF(OR(C911="",D911=""),"",MAX(1,D911-C911))</f>
        <v/>
      </c>
      <c r="F911" s="32"/>
      <c r="G911" s="36" t="str">
        <f aca="false">IF(B911="","",IFERROR(IF(N(INDEX(Fleet!$N$5:$N$79,MATCH(B911,Fleet!$A$5:$A$79,0)))&gt;0,INDEX(Fleet!$N$5:$N$79,MATCH(B911,Fleet!$A$5:$A$79,0)),Assumptions!$B$7),Assumptions!$B$7))</f>
        <v/>
      </c>
      <c r="H911" s="34" t="str">
        <f aca="false">IF(OR(F911="",G911=""),"",F911*G911)</f>
        <v/>
      </c>
      <c r="I911" s="32"/>
      <c r="J911" s="32"/>
      <c r="K911" s="37"/>
      <c r="L911" s="38" t="str">
        <f aca="false">IF(C911="","",DATE(YEAR(C911),MONTH(C911),1))</f>
        <v/>
      </c>
      <c r="M911" s="34" t="str">
        <f aca="false">IF(F911="","",N(H911)+N(I911)-N(J911))</f>
        <v/>
      </c>
      <c r="N911" s="29"/>
    </row>
    <row r="912" customFormat="false" ht="15" hidden="false" customHeight="false" outlineLevel="0" collapsed="false">
      <c r="A912" s="29"/>
      <c r="B912" s="29"/>
      <c r="C912" s="31"/>
      <c r="D912" s="31"/>
      <c r="E912" s="35" t="str">
        <f aca="false">IF(OR(C912="",D912=""),"",MAX(1,D912-C912))</f>
        <v/>
      </c>
      <c r="F912" s="32"/>
      <c r="G912" s="36" t="str">
        <f aca="false">IF(B912="","",IFERROR(IF(N(INDEX(Fleet!$N$5:$N$79,MATCH(B912,Fleet!$A$5:$A$79,0)))&gt;0,INDEX(Fleet!$N$5:$N$79,MATCH(B912,Fleet!$A$5:$A$79,0)),Assumptions!$B$7),Assumptions!$B$7))</f>
        <v/>
      </c>
      <c r="H912" s="34" t="str">
        <f aca="false">IF(OR(F912="",G912=""),"",F912*G912)</f>
        <v/>
      </c>
      <c r="I912" s="32"/>
      <c r="J912" s="32"/>
      <c r="K912" s="37"/>
      <c r="L912" s="38" t="str">
        <f aca="false">IF(C912="","",DATE(YEAR(C912),MONTH(C912),1))</f>
        <v/>
      </c>
      <c r="M912" s="34" t="str">
        <f aca="false">IF(F912="","",N(H912)+N(I912)-N(J912))</f>
        <v/>
      </c>
      <c r="N912" s="29"/>
    </row>
    <row r="913" customFormat="false" ht="15" hidden="false" customHeight="false" outlineLevel="0" collapsed="false">
      <c r="A913" s="29"/>
      <c r="B913" s="29"/>
      <c r="C913" s="31"/>
      <c r="D913" s="31"/>
      <c r="E913" s="35" t="str">
        <f aca="false">IF(OR(C913="",D913=""),"",MAX(1,D913-C913))</f>
        <v/>
      </c>
      <c r="F913" s="32"/>
      <c r="G913" s="36" t="str">
        <f aca="false">IF(B913="","",IFERROR(IF(N(INDEX(Fleet!$N$5:$N$79,MATCH(B913,Fleet!$A$5:$A$79,0)))&gt;0,INDEX(Fleet!$N$5:$N$79,MATCH(B913,Fleet!$A$5:$A$79,0)),Assumptions!$B$7),Assumptions!$B$7))</f>
        <v/>
      </c>
      <c r="H913" s="34" t="str">
        <f aca="false">IF(OR(F913="",G913=""),"",F913*G913)</f>
        <v/>
      </c>
      <c r="I913" s="32"/>
      <c r="J913" s="32"/>
      <c r="K913" s="37"/>
      <c r="L913" s="38" t="str">
        <f aca="false">IF(C913="","",DATE(YEAR(C913),MONTH(C913),1))</f>
        <v/>
      </c>
      <c r="M913" s="34" t="str">
        <f aca="false">IF(F913="","",N(H913)+N(I913)-N(J913))</f>
        <v/>
      </c>
      <c r="N913" s="29"/>
    </row>
    <row r="914" customFormat="false" ht="15" hidden="false" customHeight="false" outlineLevel="0" collapsed="false">
      <c r="A914" s="29"/>
      <c r="B914" s="29"/>
      <c r="C914" s="31"/>
      <c r="D914" s="31"/>
      <c r="E914" s="35" t="str">
        <f aca="false">IF(OR(C914="",D914=""),"",MAX(1,D914-C914))</f>
        <v/>
      </c>
      <c r="F914" s="32"/>
      <c r="G914" s="36" t="str">
        <f aca="false">IF(B914="","",IFERROR(IF(N(INDEX(Fleet!$N$5:$N$79,MATCH(B914,Fleet!$A$5:$A$79,0)))&gt;0,INDEX(Fleet!$N$5:$N$79,MATCH(B914,Fleet!$A$5:$A$79,0)),Assumptions!$B$7),Assumptions!$B$7))</f>
        <v/>
      </c>
      <c r="H914" s="34" t="str">
        <f aca="false">IF(OR(F914="",G914=""),"",F914*G914)</f>
        <v/>
      </c>
      <c r="I914" s="32"/>
      <c r="J914" s="32"/>
      <c r="K914" s="37"/>
      <c r="L914" s="38" t="str">
        <f aca="false">IF(C914="","",DATE(YEAR(C914),MONTH(C914),1))</f>
        <v/>
      </c>
      <c r="M914" s="34" t="str">
        <f aca="false">IF(F914="","",N(H914)+N(I914)-N(J914))</f>
        <v/>
      </c>
      <c r="N914" s="29"/>
    </row>
    <row r="915" customFormat="false" ht="15" hidden="false" customHeight="false" outlineLevel="0" collapsed="false">
      <c r="A915" s="29"/>
      <c r="B915" s="29"/>
      <c r="C915" s="31"/>
      <c r="D915" s="31"/>
      <c r="E915" s="35" t="str">
        <f aca="false">IF(OR(C915="",D915=""),"",MAX(1,D915-C915))</f>
        <v/>
      </c>
      <c r="F915" s="32"/>
      <c r="G915" s="36" t="str">
        <f aca="false">IF(B915="","",IFERROR(IF(N(INDEX(Fleet!$N$5:$N$79,MATCH(B915,Fleet!$A$5:$A$79,0)))&gt;0,INDEX(Fleet!$N$5:$N$79,MATCH(B915,Fleet!$A$5:$A$79,0)),Assumptions!$B$7),Assumptions!$B$7))</f>
        <v/>
      </c>
      <c r="H915" s="34" t="str">
        <f aca="false">IF(OR(F915="",G915=""),"",F915*G915)</f>
        <v/>
      </c>
      <c r="I915" s="32"/>
      <c r="J915" s="32"/>
      <c r="K915" s="37"/>
      <c r="L915" s="38" t="str">
        <f aca="false">IF(C915="","",DATE(YEAR(C915),MONTH(C915),1))</f>
        <v/>
      </c>
      <c r="M915" s="34" t="str">
        <f aca="false">IF(F915="","",N(H915)+N(I915)-N(J915))</f>
        <v/>
      </c>
      <c r="N915" s="29"/>
    </row>
    <row r="916" customFormat="false" ht="15" hidden="false" customHeight="false" outlineLevel="0" collapsed="false">
      <c r="A916" s="29"/>
      <c r="B916" s="29"/>
      <c r="C916" s="31"/>
      <c r="D916" s="31"/>
      <c r="E916" s="35" t="str">
        <f aca="false">IF(OR(C916="",D916=""),"",MAX(1,D916-C916))</f>
        <v/>
      </c>
      <c r="F916" s="32"/>
      <c r="G916" s="36" t="str">
        <f aca="false">IF(B916="","",IFERROR(IF(N(INDEX(Fleet!$N$5:$N$79,MATCH(B916,Fleet!$A$5:$A$79,0)))&gt;0,INDEX(Fleet!$N$5:$N$79,MATCH(B916,Fleet!$A$5:$A$79,0)),Assumptions!$B$7),Assumptions!$B$7))</f>
        <v/>
      </c>
      <c r="H916" s="34" t="str">
        <f aca="false">IF(OR(F916="",G916=""),"",F916*G916)</f>
        <v/>
      </c>
      <c r="I916" s="32"/>
      <c r="J916" s="32"/>
      <c r="K916" s="37"/>
      <c r="L916" s="38" t="str">
        <f aca="false">IF(C916="","",DATE(YEAR(C916),MONTH(C916),1))</f>
        <v/>
      </c>
      <c r="M916" s="34" t="str">
        <f aca="false">IF(F916="","",N(H916)+N(I916)-N(J916))</f>
        <v/>
      </c>
      <c r="N916" s="29"/>
    </row>
    <row r="917" customFormat="false" ht="15" hidden="false" customHeight="false" outlineLevel="0" collapsed="false">
      <c r="A917" s="29"/>
      <c r="B917" s="29"/>
      <c r="C917" s="31"/>
      <c r="D917" s="31"/>
      <c r="E917" s="35" t="str">
        <f aca="false">IF(OR(C917="",D917=""),"",MAX(1,D917-C917))</f>
        <v/>
      </c>
      <c r="F917" s="32"/>
      <c r="G917" s="36" t="str">
        <f aca="false">IF(B917="","",IFERROR(IF(N(INDEX(Fleet!$N$5:$N$79,MATCH(B917,Fleet!$A$5:$A$79,0)))&gt;0,INDEX(Fleet!$N$5:$N$79,MATCH(B917,Fleet!$A$5:$A$79,0)),Assumptions!$B$7),Assumptions!$B$7))</f>
        <v/>
      </c>
      <c r="H917" s="34" t="str">
        <f aca="false">IF(OR(F917="",G917=""),"",F917*G917)</f>
        <v/>
      </c>
      <c r="I917" s="32"/>
      <c r="J917" s="32"/>
      <c r="K917" s="37"/>
      <c r="L917" s="38" t="str">
        <f aca="false">IF(C917="","",DATE(YEAR(C917),MONTH(C917),1))</f>
        <v/>
      </c>
      <c r="M917" s="34" t="str">
        <f aca="false">IF(F917="","",N(H917)+N(I917)-N(J917))</f>
        <v/>
      </c>
      <c r="N917" s="29"/>
    </row>
    <row r="918" customFormat="false" ht="15" hidden="false" customHeight="false" outlineLevel="0" collapsed="false">
      <c r="A918" s="29"/>
      <c r="B918" s="29"/>
      <c r="C918" s="31"/>
      <c r="D918" s="31"/>
      <c r="E918" s="35" t="str">
        <f aca="false">IF(OR(C918="",D918=""),"",MAX(1,D918-C918))</f>
        <v/>
      </c>
      <c r="F918" s="32"/>
      <c r="G918" s="36" t="str">
        <f aca="false">IF(B918="","",IFERROR(IF(N(INDEX(Fleet!$N$5:$N$79,MATCH(B918,Fleet!$A$5:$A$79,0)))&gt;0,INDEX(Fleet!$N$5:$N$79,MATCH(B918,Fleet!$A$5:$A$79,0)),Assumptions!$B$7),Assumptions!$B$7))</f>
        <v/>
      </c>
      <c r="H918" s="34" t="str">
        <f aca="false">IF(OR(F918="",G918=""),"",F918*G918)</f>
        <v/>
      </c>
      <c r="I918" s="32"/>
      <c r="J918" s="32"/>
      <c r="K918" s="37"/>
      <c r="L918" s="38" t="str">
        <f aca="false">IF(C918="","",DATE(YEAR(C918),MONTH(C918),1))</f>
        <v/>
      </c>
      <c r="M918" s="34" t="str">
        <f aca="false">IF(F918="","",N(H918)+N(I918)-N(J918))</f>
        <v/>
      </c>
      <c r="N918" s="29"/>
    </row>
    <row r="919" customFormat="false" ht="15" hidden="false" customHeight="false" outlineLevel="0" collapsed="false">
      <c r="A919" s="29"/>
      <c r="B919" s="29"/>
      <c r="C919" s="31"/>
      <c r="D919" s="31"/>
      <c r="E919" s="35" t="str">
        <f aca="false">IF(OR(C919="",D919=""),"",MAX(1,D919-C919))</f>
        <v/>
      </c>
      <c r="F919" s="32"/>
      <c r="G919" s="36" t="str">
        <f aca="false">IF(B919="","",IFERROR(IF(N(INDEX(Fleet!$N$5:$N$79,MATCH(B919,Fleet!$A$5:$A$79,0)))&gt;0,INDEX(Fleet!$N$5:$N$79,MATCH(B919,Fleet!$A$5:$A$79,0)),Assumptions!$B$7),Assumptions!$B$7))</f>
        <v/>
      </c>
      <c r="H919" s="34" t="str">
        <f aca="false">IF(OR(F919="",G919=""),"",F919*G919)</f>
        <v/>
      </c>
      <c r="I919" s="32"/>
      <c r="J919" s="32"/>
      <c r="K919" s="37"/>
      <c r="L919" s="38" t="str">
        <f aca="false">IF(C919="","",DATE(YEAR(C919),MONTH(C919),1))</f>
        <v/>
      </c>
      <c r="M919" s="34" t="str">
        <f aca="false">IF(F919="","",N(H919)+N(I919)-N(J919))</f>
        <v/>
      </c>
      <c r="N919" s="29"/>
    </row>
    <row r="920" customFormat="false" ht="15" hidden="false" customHeight="false" outlineLevel="0" collapsed="false">
      <c r="A920" s="29"/>
      <c r="B920" s="29"/>
      <c r="C920" s="31"/>
      <c r="D920" s="31"/>
      <c r="E920" s="35" t="str">
        <f aca="false">IF(OR(C920="",D920=""),"",MAX(1,D920-C920))</f>
        <v/>
      </c>
      <c r="F920" s="32"/>
      <c r="G920" s="36" t="str">
        <f aca="false">IF(B920="","",IFERROR(IF(N(INDEX(Fleet!$N$5:$N$79,MATCH(B920,Fleet!$A$5:$A$79,0)))&gt;0,INDEX(Fleet!$N$5:$N$79,MATCH(B920,Fleet!$A$5:$A$79,0)),Assumptions!$B$7),Assumptions!$B$7))</f>
        <v/>
      </c>
      <c r="H920" s="34" t="str">
        <f aca="false">IF(OR(F920="",G920=""),"",F920*G920)</f>
        <v/>
      </c>
      <c r="I920" s="32"/>
      <c r="J920" s="32"/>
      <c r="K920" s="37"/>
      <c r="L920" s="38" t="str">
        <f aca="false">IF(C920="","",DATE(YEAR(C920),MONTH(C920),1))</f>
        <v/>
      </c>
      <c r="M920" s="34" t="str">
        <f aca="false">IF(F920="","",N(H920)+N(I920)-N(J920))</f>
        <v/>
      </c>
      <c r="N920" s="29"/>
    </row>
    <row r="921" customFormat="false" ht="15" hidden="false" customHeight="false" outlineLevel="0" collapsed="false">
      <c r="A921" s="29"/>
      <c r="B921" s="29"/>
      <c r="C921" s="31"/>
      <c r="D921" s="31"/>
      <c r="E921" s="35" t="str">
        <f aca="false">IF(OR(C921="",D921=""),"",MAX(1,D921-C921))</f>
        <v/>
      </c>
      <c r="F921" s="32"/>
      <c r="G921" s="36" t="str">
        <f aca="false">IF(B921="","",IFERROR(IF(N(INDEX(Fleet!$N$5:$N$79,MATCH(B921,Fleet!$A$5:$A$79,0)))&gt;0,INDEX(Fleet!$N$5:$N$79,MATCH(B921,Fleet!$A$5:$A$79,0)),Assumptions!$B$7),Assumptions!$B$7))</f>
        <v/>
      </c>
      <c r="H921" s="34" t="str">
        <f aca="false">IF(OR(F921="",G921=""),"",F921*G921)</f>
        <v/>
      </c>
      <c r="I921" s="32"/>
      <c r="J921" s="32"/>
      <c r="K921" s="37"/>
      <c r="L921" s="38" t="str">
        <f aca="false">IF(C921="","",DATE(YEAR(C921),MONTH(C921),1))</f>
        <v/>
      </c>
      <c r="M921" s="34" t="str">
        <f aca="false">IF(F921="","",N(H921)+N(I921)-N(J921))</f>
        <v/>
      </c>
      <c r="N921" s="29"/>
    </row>
    <row r="922" customFormat="false" ht="15" hidden="false" customHeight="false" outlineLevel="0" collapsed="false">
      <c r="A922" s="29"/>
      <c r="B922" s="29"/>
      <c r="C922" s="31"/>
      <c r="D922" s="31"/>
      <c r="E922" s="35" t="str">
        <f aca="false">IF(OR(C922="",D922=""),"",MAX(1,D922-C922))</f>
        <v/>
      </c>
      <c r="F922" s="32"/>
      <c r="G922" s="36" t="str">
        <f aca="false">IF(B922="","",IFERROR(IF(N(INDEX(Fleet!$N$5:$N$79,MATCH(B922,Fleet!$A$5:$A$79,0)))&gt;0,INDEX(Fleet!$N$5:$N$79,MATCH(B922,Fleet!$A$5:$A$79,0)),Assumptions!$B$7),Assumptions!$B$7))</f>
        <v/>
      </c>
      <c r="H922" s="34" t="str">
        <f aca="false">IF(OR(F922="",G922=""),"",F922*G922)</f>
        <v/>
      </c>
      <c r="I922" s="32"/>
      <c r="J922" s="32"/>
      <c r="K922" s="37"/>
      <c r="L922" s="38" t="str">
        <f aca="false">IF(C922="","",DATE(YEAR(C922),MONTH(C922),1))</f>
        <v/>
      </c>
      <c r="M922" s="34" t="str">
        <f aca="false">IF(F922="","",N(H922)+N(I922)-N(J922))</f>
        <v/>
      </c>
      <c r="N922" s="29"/>
    </row>
    <row r="923" customFormat="false" ht="15" hidden="false" customHeight="false" outlineLevel="0" collapsed="false">
      <c r="A923" s="29"/>
      <c r="B923" s="29"/>
      <c r="C923" s="31"/>
      <c r="D923" s="31"/>
      <c r="E923" s="35" t="str">
        <f aca="false">IF(OR(C923="",D923=""),"",MAX(1,D923-C923))</f>
        <v/>
      </c>
      <c r="F923" s="32"/>
      <c r="G923" s="36" t="str">
        <f aca="false">IF(B923="","",IFERROR(IF(N(INDEX(Fleet!$N$5:$N$79,MATCH(B923,Fleet!$A$5:$A$79,0)))&gt;0,INDEX(Fleet!$N$5:$N$79,MATCH(B923,Fleet!$A$5:$A$79,0)),Assumptions!$B$7),Assumptions!$B$7))</f>
        <v/>
      </c>
      <c r="H923" s="34" t="str">
        <f aca="false">IF(OR(F923="",G923=""),"",F923*G923)</f>
        <v/>
      </c>
      <c r="I923" s="32"/>
      <c r="J923" s="32"/>
      <c r="K923" s="37"/>
      <c r="L923" s="38" t="str">
        <f aca="false">IF(C923="","",DATE(YEAR(C923),MONTH(C923),1))</f>
        <v/>
      </c>
      <c r="M923" s="34" t="str">
        <f aca="false">IF(F923="","",N(H923)+N(I923)-N(J923))</f>
        <v/>
      </c>
      <c r="N923" s="29"/>
    </row>
    <row r="924" customFormat="false" ht="15" hidden="false" customHeight="false" outlineLevel="0" collapsed="false">
      <c r="A924" s="29"/>
      <c r="B924" s="29"/>
      <c r="C924" s="31"/>
      <c r="D924" s="31"/>
      <c r="E924" s="35" t="str">
        <f aca="false">IF(OR(C924="",D924=""),"",MAX(1,D924-C924))</f>
        <v/>
      </c>
      <c r="F924" s="32"/>
      <c r="G924" s="36" t="str">
        <f aca="false">IF(B924="","",IFERROR(IF(N(INDEX(Fleet!$N$5:$N$79,MATCH(B924,Fleet!$A$5:$A$79,0)))&gt;0,INDEX(Fleet!$N$5:$N$79,MATCH(B924,Fleet!$A$5:$A$79,0)),Assumptions!$B$7),Assumptions!$B$7))</f>
        <v/>
      </c>
      <c r="H924" s="34" t="str">
        <f aca="false">IF(OR(F924="",G924=""),"",F924*G924)</f>
        <v/>
      </c>
      <c r="I924" s="32"/>
      <c r="J924" s="32"/>
      <c r="K924" s="37"/>
      <c r="L924" s="38" t="str">
        <f aca="false">IF(C924="","",DATE(YEAR(C924),MONTH(C924),1))</f>
        <v/>
      </c>
      <c r="M924" s="34" t="str">
        <f aca="false">IF(F924="","",N(H924)+N(I924)-N(J924))</f>
        <v/>
      </c>
      <c r="N924" s="29"/>
    </row>
    <row r="925" customFormat="false" ht="15" hidden="false" customHeight="false" outlineLevel="0" collapsed="false">
      <c r="A925" s="29"/>
      <c r="B925" s="29"/>
      <c r="C925" s="31"/>
      <c r="D925" s="31"/>
      <c r="E925" s="35" t="str">
        <f aca="false">IF(OR(C925="",D925=""),"",MAX(1,D925-C925))</f>
        <v/>
      </c>
      <c r="F925" s="32"/>
      <c r="G925" s="36" t="str">
        <f aca="false">IF(B925="","",IFERROR(IF(N(INDEX(Fleet!$N$5:$N$79,MATCH(B925,Fleet!$A$5:$A$79,0)))&gt;0,INDEX(Fleet!$N$5:$N$79,MATCH(B925,Fleet!$A$5:$A$79,0)),Assumptions!$B$7),Assumptions!$B$7))</f>
        <v/>
      </c>
      <c r="H925" s="34" t="str">
        <f aca="false">IF(OR(F925="",G925=""),"",F925*G925)</f>
        <v/>
      </c>
      <c r="I925" s="32"/>
      <c r="J925" s="32"/>
      <c r="K925" s="37"/>
      <c r="L925" s="38" t="str">
        <f aca="false">IF(C925="","",DATE(YEAR(C925),MONTH(C925),1))</f>
        <v/>
      </c>
      <c r="M925" s="34" t="str">
        <f aca="false">IF(F925="","",N(H925)+N(I925)-N(J925))</f>
        <v/>
      </c>
      <c r="N925" s="29"/>
    </row>
    <row r="926" customFormat="false" ht="15" hidden="false" customHeight="false" outlineLevel="0" collapsed="false">
      <c r="A926" s="29"/>
      <c r="B926" s="29"/>
      <c r="C926" s="31"/>
      <c r="D926" s="31"/>
      <c r="E926" s="35" t="str">
        <f aca="false">IF(OR(C926="",D926=""),"",MAX(1,D926-C926))</f>
        <v/>
      </c>
      <c r="F926" s="32"/>
      <c r="G926" s="36" t="str">
        <f aca="false">IF(B926="","",IFERROR(IF(N(INDEX(Fleet!$N$5:$N$79,MATCH(B926,Fleet!$A$5:$A$79,0)))&gt;0,INDEX(Fleet!$N$5:$N$79,MATCH(B926,Fleet!$A$5:$A$79,0)),Assumptions!$B$7),Assumptions!$B$7))</f>
        <v/>
      </c>
      <c r="H926" s="34" t="str">
        <f aca="false">IF(OR(F926="",G926=""),"",F926*G926)</f>
        <v/>
      </c>
      <c r="I926" s="32"/>
      <c r="J926" s="32"/>
      <c r="K926" s="37"/>
      <c r="L926" s="38" t="str">
        <f aca="false">IF(C926="","",DATE(YEAR(C926),MONTH(C926),1))</f>
        <v/>
      </c>
      <c r="M926" s="34" t="str">
        <f aca="false">IF(F926="","",N(H926)+N(I926)-N(J926))</f>
        <v/>
      </c>
      <c r="N926" s="29"/>
    </row>
    <row r="927" customFormat="false" ht="15" hidden="false" customHeight="false" outlineLevel="0" collapsed="false">
      <c r="A927" s="29"/>
      <c r="B927" s="29"/>
      <c r="C927" s="31"/>
      <c r="D927" s="31"/>
      <c r="E927" s="35" t="str">
        <f aca="false">IF(OR(C927="",D927=""),"",MAX(1,D927-C927))</f>
        <v/>
      </c>
      <c r="F927" s="32"/>
      <c r="G927" s="36" t="str">
        <f aca="false">IF(B927="","",IFERROR(IF(N(INDEX(Fleet!$N$5:$N$79,MATCH(B927,Fleet!$A$5:$A$79,0)))&gt;0,INDEX(Fleet!$N$5:$N$79,MATCH(B927,Fleet!$A$5:$A$79,0)),Assumptions!$B$7),Assumptions!$B$7))</f>
        <v/>
      </c>
      <c r="H927" s="34" t="str">
        <f aca="false">IF(OR(F927="",G927=""),"",F927*G927)</f>
        <v/>
      </c>
      <c r="I927" s="32"/>
      <c r="J927" s="32"/>
      <c r="K927" s="37"/>
      <c r="L927" s="38" t="str">
        <f aca="false">IF(C927="","",DATE(YEAR(C927),MONTH(C927),1))</f>
        <v/>
      </c>
      <c r="M927" s="34" t="str">
        <f aca="false">IF(F927="","",N(H927)+N(I927)-N(J927))</f>
        <v/>
      </c>
      <c r="N927" s="29"/>
    </row>
    <row r="928" customFormat="false" ht="15" hidden="false" customHeight="false" outlineLevel="0" collapsed="false">
      <c r="A928" s="29"/>
      <c r="B928" s="29"/>
      <c r="C928" s="31"/>
      <c r="D928" s="31"/>
      <c r="E928" s="35" t="str">
        <f aca="false">IF(OR(C928="",D928=""),"",MAX(1,D928-C928))</f>
        <v/>
      </c>
      <c r="F928" s="32"/>
      <c r="G928" s="36" t="str">
        <f aca="false">IF(B928="","",IFERROR(IF(N(INDEX(Fleet!$N$5:$N$79,MATCH(B928,Fleet!$A$5:$A$79,0)))&gt;0,INDEX(Fleet!$N$5:$N$79,MATCH(B928,Fleet!$A$5:$A$79,0)),Assumptions!$B$7),Assumptions!$B$7))</f>
        <v/>
      </c>
      <c r="H928" s="34" t="str">
        <f aca="false">IF(OR(F928="",G928=""),"",F928*G928)</f>
        <v/>
      </c>
      <c r="I928" s="32"/>
      <c r="J928" s="32"/>
      <c r="K928" s="37"/>
      <c r="L928" s="38" t="str">
        <f aca="false">IF(C928="","",DATE(YEAR(C928),MONTH(C928),1))</f>
        <v/>
      </c>
      <c r="M928" s="34" t="str">
        <f aca="false">IF(F928="","",N(H928)+N(I928)-N(J928))</f>
        <v/>
      </c>
      <c r="N928" s="29"/>
    </row>
    <row r="929" customFormat="false" ht="15" hidden="false" customHeight="false" outlineLevel="0" collapsed="false">
      <c r="A929" s="29"/>
      <c r="B929" s="29"/>
      <c r="C929" s="31"/>
      <c r="D929" s="31"/>
      <c r="E929" s="35" t="str">
        <f aca="false">IF(OR(C929="",D929=""),"",MAX(1,D929-C929))</f>
        <v/>
      </c>
      <c r="F929" s="32"/>
      <c r="G929" s="36" t="str">
        <f aca="false">IF(B929="","",IFERROR(IF(N(INDEX(Fleet!$N$5:$N$79,MATCH(B929,Fleet!$A$5:$A$79,0)))&gt;0,INDEX(Fleet!$N$5:$N$79,MATCH(B929,Fleet!$A$5:$A$79,0)),Assumptions!$B$7),Assumptions!$B$7))</f>
        <v/>
      </c>
      <c r="H929" s="34" t="str">
        <f aca="false">IF(OR(F929="",G929=""),"",F929*G929)</f>
        <v/>
      </c>
      <c r="I929" s="32"/>
      <c r="J929" s="32"/>
      <c r="K929" s="37"/>
      <c r="L929" s="38" t="str">
        <f aca="false">IF(C929="","",DATE(YEAR(C929),MONTH(C929),1))</f>
        <v/>
      </c>
      <c r="M929" s="34" t="str">
        <f aca="false">IF(F929="","",N(H929)+N(I929)-N(J929))</f>
        <v/>
      </c>
      <c r="N929" s="29"/>
    </row>
    <row r="930" customFormat="false" ht="15" hidden="false" customHeight="false" outlineLevel="0" collapsed="false">
      <c r="A930" s="29"/>
      <c r="B930" s="29"/>
      <c r="C930" s="31"/>
      <c r="D930" s="31"/>
      <c r="E930" s="35" t="str">
        <f aca="false">IF(OR(C930="",D930=""),"",MAX(1,D930-C930))</f>
        <v/>
      </c>
      <c r="F930" s="32"/>
      <c r="G930" s="36" t="str">
        <f aca="false">IF(B930="","",IFERROR(IF(N(INDEX(Fleet!$N$5:$N$79,MATCH(B930,Fleet!$A$5:$A$79,0)))&gt;0,INDEX(Fleet!$N$5:$N$79,MATCH(B930,Fleet!$A$5:$A$79,0)),Assumptions!$B$7),Assumptions!$B$7))</f>
        <v/>
      </c>
      <c r="H930" s="34" t="str">
        <f aca="false">IF(OR(F930="",G930=""),"",F930*G930)</f>
        <v/>
      </c>
      <c r="I930" s="32"/>
      <c r="J930" s="32"/>
      <c r="K930" s="37"/>
      <c r="L930" s="38" t="str">
        <f aca="false">IF(C930="","",DATE(YEAR(C930),MONTH(C930),1))</f>
        <v/>
      </c>
      <c r="M930" s="34" t="str">
        <f aca="false">IF(F930="","",N(H930)+N(I930)-N(J930))</f>
        <v/>
      </c>
      <c r="N930" s="29"/>
    </row>
    <row r="931" customFormat="false" ht="15" hidden="false" customHeight="false" outlineLevel="0" collapsed="false">
      <c r="A931" s="29"/>
      <c r="B931" s="29"/>
      <c r="C931" s="31"/>
      <c r="D931" s="31"/>
      <c r="E931" s="35" t="str">
        <f aca="false">IF(OR(C931="",D931=""),"",MAX(1,D931-C931))</f>
        <v/>
      </c>
      <c r="F931" s="32"/>
      <c r="G931" s="36" t="str">
        <f aca="false">IF(B931="","",IFERROR(IF(N(INDEX(Fleet!$N$5:$N$79,MATCH(B931,Fleet!$A$5:$A$79,0)))&gt;0,INDEX(Fleet!$N$5:$N$79,MATCH(B931,Fleet!$A$5:$A$79,0)),Assumptions!$B$7),Assumptions!$B$7))</f>
        <v/>
      </c>
      <c r="H931" s="34" t="str">
        <f aca="false">IF(OR(F931="",G931=""),"",F931*G931)</f>
        <v/>
      </c>
      <c r="I931" s="32"/>
      <c r="J931" s="32"/>
      <c r="K931" s="37"/>
      <c r="L931" s="38" t="str">
        <f aca="false">IF(C931="","",DATE(YEAR(C931),MONTH(C931),1))</f>
        <v/>
      </c>
      <c r="M931" s="34" t="str">
        <f aca="false">IF(F931="","",N(H931)+N(I931)-N(J931))</f>
        <v/>
      </c>
      <c r="N931" s="29"/>
    </row>
    <row r="932" customFormat="false" ht="15" hidden="false" customHeight="false" outlineLevel="0" collapsed="false">
      <c r="A932" s="29"/>
      <c r="B932" s="29"/>
      <c r="C932" s="31"/>
      <c r="D932" s="31"/>
      <c r="E932" s="35" t="str">
        <f aca="false">IF(OR(C932="",D932=""),"",MAX(1,D932-C932))</f>
        <v/>
      </c>
      <c r="F932" s="32"/>
      <c r="G932" s="36" t="str">
        <f aca="false">IF(B932="","",IFERROR(IF(N(INDEX(Fleet!$N$5:$N$79,MATCH(B932,Fleet!$A$5:$A$79,0)))&gt;0,INDEX(Fleet!$N$5:$N$79,MATCH(B932,Fleet!$A$5:$A$79,0)),Assumptions!$B$7),Assumptions!$B$7))</f>
        <v/>
      </c>
      <c r="H932" s="34" t="str">
        <f aca="false">IF(OR(F932="",G932=""),"",F932*G932)</f>
        <v/>
      </c>
      <c r="I932" s="32"/>
      <c r="J932" s="32"/>
      <c r="K932" s="37"/>
      <c r="L932" s="38" t="str">
        <f aca="false">IF(C932="","",DATE(YEAR(C932),MONTH(C932),1))</f>
        <v/>
      </c>
      <c r="M932" s="34" t="str">
        <f aca="false">IF(F932="","",N(H932)+N(I932)-N(J932))</f>
        <v/>
      </c>
      <c r="N932" s="29"/>
    </row>
    <row r="933" customFormat="false" ht="15" hidden="false" customHeight="false" outlineLevel="0" collapsed="false">
      <c r="A933" s="29"/>
      <c r="B933" s="29"/>
      <c r="C933" s="31"/>
      <c r="D933" s="31"/>
      <c r="E933" s="35" t="str">
        <f aca="false">IF(OR(C933="",D933=""),"",MAX(1,D933-C933))</f>
        <v/>
      </c>
      <c r="F933" s="32"/>
      <c r="G933" s="36" t="str">
        <f aca="false">IF(B933="","",IFERROR(IF(N(INDEX(Fleet!$N$5:$N$79,MATCH(B933,Fleet!$A$5:$A$79,0)))&gt;0,INDEX(Fleet!$N$5:$N$79,MATCH(B933,Fleet!$A$5:$A$79,0)),Assumptions!$B$7),Assumptions!$B$7))</f>
        <v/>
      </c>
      <c r="H933" s="34" t="str">
        <f aca="false">IF(OR(F933="",G933=""),"",F933*G933)</f>
        <v/>
      </c>
      <c r="I933" s="32"/>
      <c r="J933" s="32"/>
      <c r="K933" s="37"/>
      <c r="L933" s="38" t="str">
        <f aca="false">IF(C933="","",DATE(YEAR(C933),MONTH(C933),1))</f>
        <v/>
      </c>
      <c r="M933" s="34" t="str">
        <f aca="false">IF(F933="","",N(H933)+N(I933)-N(J933))</f>
        <v/>
      </c>
      <c r="N933" s="29"/>
    </row>
    <row r="934" customFormat="false" ht="15" hidden="false" customHeight="false" outlineLevel="0" collapsed="false">
      <c r="A934" s="29"/>
      <c r="B934" s="29"/>
      <c r="C934" s="31"/>
      <c r="D934" s="31"/>
      <c r="E934" s="35" t="str">
        <f aca="false">IF(OR(C934="",D934=""),"",MAX(1,D934-C934))</f>
        <v/>
      </c>
      <c r="F934" s="32"/>
      <c r="G934" s="36" t="str">
        <f aca="false">IF(B934="","",IFERROR(IF(N(INDEX(Fleet!$N$5:$N$79,MATCH(B934,Fleet!$A$5:$A$79,0)))&gt;0,INDEX(Fleet!$N$5:$N$79,MATCH(B934,Fleet!$A$5:$A$79,0)),Assumptions!$B$7),Assumptions!$B$7))</f>
        <v/>
      </c>
      <c r="H934" s="34" t="str">
        <f aca="false">IF(OR(F934="",G934=""),"",F934*G934)</f>
        <v/>
      </c>
      <c r="I934" s="32"/>
      <c r="J934" s="32"/>
      <c r="K934" s="37"/>
      <c r="L934" s="38" t="str">
        <f aca="false">IF(C934="","",DATE(YEAR(C934),MONTH(C934),1))</f>
        <v/>
      </c>
      <c r="M934" s="34" t="str">
        <f aca="false">IF(F934="","",N(H934)+N(I934)-N(J934))</f>
        <v/>
      </c>
      <c r="N934" s="29"/>
    </row>
    <row r="935" customFormat="false" ht="15" hidden="false" customHeight="false" outlineLevel="0" collapsed="false">
      <c r="A935" s="29"/>
      <c r="B935" s="29"/>
      <c r="C935" s="31"/>
      <c r="D935" s="31"/>
      <c r="E935" s="35" t="str">
        <f aca="false">IF(OR(C935="",D935=""),"",MAX(1,D935-C935))</f>
        <v/>
      </c>
      <c r="F935" s="32"/>
      <c r="G935" s="36" t="str">
        <f aca="false">IF(B935="","",IFERROR(IF(N(INDEX(Fleet!$N$5:$N$79,MATCH(B935,Fleet!$A$5:$A$79,0)))&gt;0,INDEX(Fleet!$N$5:$N$79,MATCH(B935,Fleet!$A$5:$A$79,0)),Assumptions!$B$7),Assumptions!$B$7))</f>
        <v/>
      </c>
      <c r="H935" s="34" t="str">
        <f aca="false">IF(OR(F935="",G935=""),"",F935*G935)</f>
        <v/>
      </c>
      <c r="I935" s="32"/>
      <c r="J935" s="32"/>
      <c r="K935" s="37"/>
      <c r="L935" s="38" t="str">
        <f aca="false">IF(C935="","",DATE(YEAR(C935),MONTH(C935),1))</f>
        <v/>
      </c>
      <c r="M935" s="34" t="str">
        <f aca="false">IF(F935="","",N(H935)+N(I935)-N(J935))</f>
        <v/>
      </c>
      <c r="N935" s="29"/>
    </row>
    <row r="936" customFormat="false" ht="15" hidden="false" customHeight="false" outlineLevel="0" collapsed="false">
      <c r="A936" s="29"/>
      <c r="B936" s="29"/>
      <c r="C936" s="31"/>
      <c r="D936" s="31"/>
      <c r="E936" s="35" t="str">
        <f aca="false">IF(OR(C936="",D936=""),"",MAX(1,D936-C936))</f>
        <v/>
      </c>
      <c r="F936" s="32"/>
      <c r="G936" s="36" t="str">
        <f aca="false">IF(B936="","",IFERROR(IF(N(INDEX(Fleet!$N$5:$N$79,MATCH(B936,Fleet!$A$5:$A$79,0)))&gt;0,INDEX(Fleet!$N$5:$N$79,MATCH(B936,Fleet!$A$5:$A$79,0)),Assumptions!$B$7),Assumptions!$B$7))</f>
        <v/>
      </c>
      <c r="H936" s="34" t="str">
        <f aca="false">IF(OR(F936="",G936=""),"",F936*G936)</f>
        <v/>
      </c>
      <c r="I936" s="32"/>
      <c r="J936" s="32"/>
      <c r="K936" s="37"/>
      <c r="L936" s="38" t="str">
        <f aca="false">IF(C936="","",DATE(YEAR(C936),MONTH(C936),1))</f>
        <v/>
      </c>
      <c r="M936" s="34" t="str">
        <f aca="false">IF(F936="","",N(H936)+N(I936)-N(J936))</f>
        <v/>
      </c>
      <c r="N936" s="29"/>
    </row>
    <row r="937" customFormat="false" ht="15" hidden="false" customHeight="false" outlineLevel="0" collapsed="false">
      <c r="A937" s="29"/>
      <c r="B937" s="29"/>
      <c r="C937" s="31"/>
      <c r="D937" s="31"/>
      <c r="E937" s="35" t="str">
        <f aca="false">IF(OR(C937="",D937=""),"",MAX(1,D937-C937))</f>
        <v/>
      </c>
      <c r="F937" s="32"/>
      <c r="G937" s="36" t="str">
        <f aca="false">IF(B937="","",IFERROR(IF(N(INDEX(Fleet!$N$5:$N$79,MATCH(B937,Fleet!$A$5:$A$79,0)))&gt;0,INDEX(Fleet!$N$5:$N$79,MATCH(B937,Fleet!$A$5:$A$79,0)),Assumptions!$B$7),Assumptions!$B$7))</f>
        <v/>
      </c>
      <c r="H937" s="34" t="str">
        <f aca="false">IF(OR(F937="",G937=""),"",F937*G937)</f>
        <v/>
      </c>
      <c r="I937" s="32"/>
      <c r="J937" s="32"/>
      <c r="K937" s="37"/>
      <c r="L937" s="38" t="str">
        <f aca="false">IF(C937="","",DATE(YEAR(C937),MONTH(C937),1))</f>
        <v/>
      </c>
      <c r="M937" s="34" t="str">
        <f aca="false">IF(F937="","",N(H937)+N(I937)-N(J937))</f>
        <v/>
      </c>
      <c r="N937" s="29"/>
    </row>
    <row r="938" customFormat="false" ht="15" hidden="false" customHeight="false" outlineLevel="0" collapsed="false">
      <c r="A938" s="29"/>
      <c r="B938" s="29"/>
      <c r="C938" s="31"/>
      <c r="D938" s="31"/>
      <c r="E938" s="35" t="str">
        <f aca="false">IF(OR(C938="",D938=""),"",MAX(1,D938-C938))</f>
        <v/>
      </c>
      <c r="F938" s="32"/>
      <c r="G938" s="36" t="str">
        <f aca="false">IF(B938="","",IFERROR(IF(N(INDEX(Fleet!$N$5:$N$79,MATCH(B938,Fleet!$A$5:$A$79,0)))&gt;0,INDEX(Fleet!$N$5:$N$79,MATCH(B938,Fleet!$A$5:$A$79,0)),Assumptions!$B$7),Assumptions!$B$7))</f>
        <v/>
      </c>
      <c r="H938" s="34" t="str">
        <f aca="false">IF(OR(F938="",G938=""),"",F938*G938)</f>
        <v/>
      </c>
      <c r="I938" s="32"/>
      <c r="J938" s="32"/>
      <c r="K938" s="37"/>
      <c r="L938" s="38" t="str">
        <f aca="false">IF(C938="","",DATE(YEAR(C938),MONTH(C938),1))</f>
        <v/>
      </c>
      <c r="M938" s="34" t="str">
        <f aca="false">IF(F938="","",N(H938)+N(I938)-N(J938))</f>
        <v/>
      </c>
      <c r="N938" s="29"/>
    </row>
    <row r="939" customFormat="false" ht="15" hidden="false" customHeight="false" outlineLevel="0" collapsed="false">
      <c r="A939" s="29"/>
      <c r="B939" s="29"/>
      <c r="C939" s="31"/>
      <c r="D939" s="31"/>
      <c r="E939" s="35" t="str">
        <f aca="false">IF(OR(C939="",D939=""),"",MAX(1,D939-C939))</f>
        <v/>
      </c>
      <c r="F939" s="32"/>
      <c r="G939" s="36" t="str">
        <f aca="false">IF(B939="","",IFERROR(IF(N(INDEX(Fleet!$N$5:$N$79,MATCH(B939,Fleet!$A$5:$A$79,0)))&gt;0,INDEX(Fleet!$N$5:$N$79,MATCH(B939,Fleet!$A$5:$A$79,0)),Assumptions!$B$7),Assumptions!$B$7))</f>
        <v/>
      </c>
      <c r="H939" s="34" t="str">
        <f aca="false">IF(OR(F939="",G939=""),"",F939*G939)</f>
        <v/>
      </c>
      <c r="I939" s="32"/>
      <c r="J939" s="32"/>
      <c r="K939" s="37"/>
      <c r="L939" s="38" t="str">
        <f aca="false">IF(C939="","",DATE(YEAR(C939),MONTH(C939),1))</f>
        <v/>
      </c>
      <c r="M939" s="34" t="str">
        <f aca="false">IF(F939="","",N(H939)+N(I939)-N(J939))</f>
        <v/>
      </c>
      <c r="N939" s="29"/>
    </row>
    <row r="940" customFormat="false" ht="15" hidden="false" customHeight="false" outlineLevel="0" collapsed="false">
      <c r="A940" s="29"/>
      <c r="B940" s="29"/>
      <c r="C940" s="31"/>
      <c r="D940" s="31"/>
      <c r="E940" s="35" t="str">
        <f aca="false">IF(OR(C940="",D940=""),"",MAX(1,D940-C940))</f>
        <v/>
      </c>
      <c r="F940" s="32"/>
      <c r="G940" s="36" t="str">
        <f aca="false">IF(B940="","",IFERROR(IF(N(INDEX(Fleet!$N$5:$N$79,MATCH(B940,Fleet!$A$5:$A$79,0)))&gt;0,INDEX(Fleet!$N$5:$N$79,MATCH(B940,Fleet!$A$5:$A$79,0)),Assumptions!$B$7),Assumptions!$B$7))</f>
        <v/>
      </c>
      <c r="H940" s="34" t="str">
        <f aca="false">IF(OR(F940="",G940=""),"",F940*G940)</f>
        <v/>
      </c>
      <c r="I940" s="32"/>
      <c r="J940" s="32"/>
      <c r="K940" s="37"/>
      <c r="L940" s="38" t="str">
        <f aca="false">IF(C940="","",DATE(YEAR(C940),MONTH(C940),1))</f>
        <v/>
      </c>
      <c r="M940" s="34" t="str">
        <f aca="false">IF(F940="","",N(H940)+N(I940)-N(J940))</f>
        <v/>
      </c>
      <c r="N940" s="29"/>
    </row>
    <row r="941" customFormat="false" ht="15" hidden="false" customHeight="false" outlineLevel="0" collapsed="false">
      <c r="A941" s="29"/>
      <c r="B941" s="29"/>
      <c r="C941" s="31"/>
      <c r="D941" s="31"/>
      <c r="E941" s="35" t="str">
        <f aca="false">IF(OR(C941="",D941=""),"",MAX(1,D941-C941))</f>
        <v/>
      </c>
      <c r="F941" s="32"/>
      <c r="G941" s="36" t="str">
        <f aca="false">IF(B941="","",IFERROR(IF(N(INDEX(Fleet!$N$5:$N$79,MATCH(B941,Fleet!$A$5:$A$79,0)))&gt;0,INDEX(Fleet!$N$5:$N$79,MATCH(B941,Fleet!$A$5:$A$79,0)),Assumptions!$B$7),Assumptions!$B$7))</f>
        <v/>
      </c>
      <c r="H941" s="34" t="str">
        <f aca="false">IF(OR(F941="",G941=""),"",F941*G941)</f>
        <v/>
      </c>
      <c r="I941" s="32"/>
      <c r="J941" s="32"/>
      <c r="K941" s="37"/>
      <c r="L941" s="38" t="str">
        <f aca="false">IF(C941="","",DATE(YEAR(C941),MONTH(C941),1))</f>
        <v/>
      </c>
      <c r="M941" s="34" t="str">
        <f aca="false">IF(F941="","",N(H941)+N(I941)-N(J941))</f>
        <v/>
      </c>
      <c r="N941" s="29"/>
    </row>
    <row r="942" customFormat="false" ht="15" hidden="false" customHeight="false" outlineLevel="0" collapsed="false">
      <c r="A942" s="29"/>
      <c r="B942" s="29"/>
      <c r="C942" s="31"/>
      <c r="D942" s="31"/>
      <c r="E942" s="35" t="str">
        <f aca="false">IF(OR(C942="",D942=""),"",MAX(1,D942-C942))</f>
        <v/>
      </c>
      <c r="F942" s="32"/>
      <c r="G942" s="36" t="str">
        <f aca="false">IF(B942="","",IFERROR(IF(N(INDEX(Fleet!$N$5:$N$79,MATCH(B942,Fleet!$A$5:$A$79,0)))&gt;0,INDEX(Fleet!$N$5:$N$79,MATCH(B942,Fleet!$A$5:$A$79,0)),Assumptions!$B$7),Assumptions!$B$7))</f>
        <v/>
      </c>
      <c r="H942" s="34" t="str">
        <f aca="false">IF(OR(F942="",G942=""),"",F942*G942)</f>
        <v/>
      </c>
      <c r="I942" s="32"/>
      <c r="J942" s="32"/>
      <c r="K942" s="37"/>
      <c r="L942" s="38" t="str">
        <f aca="false">IF(C942="","",DATE(YEAR(C942),MONTH(C942),1))</f>
        <v/>
      </c>
      <c r="M942" s="34" t="str">
        <f aca="false">IF(F942="","",N(H942)+N(I942)-N(J942))</f>
        <v/>
      </c>
      <c r="N942" s="29"/>
    </row>
    <row r="943" customFormat="false" ht="15" hidden="false" customHeight="false" outlineLevel="0" collapsed="false">
      <c r="A943" s="29"/>
      <c r="B943" s="29"/>
      <c r="C943" s="31"/>
      <c r="D943" s="31"/>
      <c r="E943" s="35" t="str">
        <f aca="false">IF(OR(C943="",D943=""),"",MAX(1,D943-C943))</f>
        <v/>
      </c>
      <c r="F943" s="32"/>
      <c r="G943" s="36" t="str">
        <f aca="false">IF(B943="","",IFERROR(IF(N(INDEX(Fleet!$N$5:$N$79,MATCH(B943,Fleet!$A$5:$A$79,0)))&gt;0,INDEX(Fleet!$N$5:$N$79,MATCH(B943,Fleet!$A$5:$A$79,0)),Assumptions!$B$7),Assumptions!$B$7))</f>
        <v/>
      </c>
      <c r="H943" s="34" t="str">
        <f aca="false">IF(OR(F943="",G943=""),"",F943*G943)</f>
        <v/>
      </c>
      <c r="I943" s="32"/>
      <c r="J943" s="32"/>
      <c r="K943" s="37"/>
      <c r="L943" s="38" t="str">
        <f aca="false">IF(C943="","",DATE(YEAR(C943),MONTH(C943),1))</f>
        <v/>
      </c>
      <c r="M943" s="34" t="str">
        <f aca="false">IF(F943="","",N(H943)+N(I943)-N(J943))</f>
        <v/>
      </c>
      <c r="N943" s="29"/>
    </row>
    <row r="944" customFormat="false" ht="15" hidden="false" customHeight="false" outlineLevel="0" collapsed="false">
      <c r="A944" s="29"/>
      <c r="B944" s="29"/>
      <c r="C944" s="31"/>
      <c r="D944" s="31"/>
      <c r="E944" s="35" t="str">
        <f aca="false">IF(OR(C944="",D944=""),"",MAX(1,D944-C944))</f>
        <v/>
      </c>
      <c r="F944" s="32"/>
      <c r="G944" s="36" t="str">
        <f aca="false">IF(B944="","",IFERROR(IF(N(INDEX(Fleet!$N$5:$N$79,MATCH(B944,Fleet!$A$5:$A$79,0)))&gt;0,INDEX(Fleet!$N$5:$N$79,MATCH(B944,Fleet!$A$5:$A$79,0)),Assumptions!$B$7),Assumptions!$B$7))</f>
        <v/>
      </c>
      <c r="H944" s="34" t="str">
        <f aca="false">IF(OR(F944="",G944=""),"",F944*G944)</f>
        <v/>
      </c>
      <c r="I944" s="32"/>
      <c r="J944" s="32"/>
      <c r="K944" s="37"/>
      <c r="L944" s="38" t="str">
        <f aca="false">IF(C944="","",DATE(YEAR(C944),MONTH(C944),1))</f>
        <v/>
      </c>
      <c r="M944" s="34" t="str">
        <f aca="false">IF(F944="","",N(H944)+N(I944)-N(J944))</f>
        <v/>
      </c>
      <c r="N944" s="29"/>
    </row>
    <row r="945" customFormat="false" ht="15" hidden="false" customHeight="false" outlineLevel="0" collapsed="false">
      <c r="A945" s="29"/>
      <c r="B945" s="29"/>
      <c r="C945" s="31"/>
      <c r="D945" s="31"/>
      <c r="E945" s="35" t="str">
        <f aca="false">IF(OR(C945="",D945=""),"",MAX(1,D945-C945))</f>
        <v/>
      </c>
      <c r="F945" s="32"/>
      <c r="G945" s="36" t="str">
        <f aca="false">IF(B945="","",IFERROR(IF(N(INDEX(Fleet!$N$5:$N$79,MATCH(B945,Fleet!$A$5:$A$79,0)))&gt;0,INDEX(Fleet!$N$5:$N$79,MATCH(B945,Fleet!$A$5:$A$79,0)),Assumptions!$B$7),Assumptions!$B$7))</f>
        <v/>
      </c>
      <c r="H945" s="34" t="str">
        <f aca="false">IF(OR(F945="",G945=""),"",F945*G945)</f>
        <v/>
      </c>
      <c r="I945" s="32"/>
      <c r="J945" s="32"/>
      <c r="K945" s="37"/>
      <c r="L945" s="38" t="str">
        <f aca="false">IF(C945="","",DATE(YEAR(C945),MONTH(C945),1))</f>
        <v/>
      </c>
      <c r="M945" s="34" t="str">
        <f aca="false">IF(F945="","",N(H945)+N(I945)-N(J945))</f>
        <v/>
      </c>
      <c r="N945" s="29"/>
    </row>
    <row r="946" customFormat="false" ht="15" hidden="false" customHeight="false" outlineLevel="0" collapsed="false">
      <c r="A946" s="29"/>
      <c r="B946" s="29"/>
      <c r="C946" s="31"/>
      <c r="D946" s="31"/>
      <c r="E946" s="35" t="str">
        <f aca="false">IF(OR(C946="",D946=""),"",MAX(1,D946-C946))</f>
        <v/>
      </c>
      <c r="F946" s="32"/>
      <c r="G946" s="36" t="str">
        <f aca="false">IF(B946="","",IFERROR(IF(N(INDEX(Fleet!$N$5:$N$79,MATCH(B946,Fleet!$A$5:$A$79,0)))&gt;0,INDEX(Fleet!$N$5:$N$79,MATCH(B946,Fleet!$A$5:$A$79,0)),Assumptions!$B$7),Assumptions!$B$7))</f>
        <v/>
      </c>
      <c r="H946" s="34" t="str">
        <f aca="false">IF(OR(F946="",G946=""),"",F946*G946)</f>
        <v/>
      </c>
      <c r="I946" s="32"/>
      <c r="J946" s="32"/>
      <c r="K946" s="37"/>
      <c r="L946" s="38" t="str">
        <f aca="false">IF(C946="","",DATE(YEAR(C946),MONTH(C946),1))</f>
        <v/>
      </c>
      <c r="M946" s="34" t="str">
        <f aca="false">IF(F946="","",N(H946)+N(I946)-N(J946))</f>
        <v/>
      </c>
      <c r="N946" s="29"/>
    </row>
    <row r="947" customFormat="false" ht="15" hidden="false" customHeight="false" outlineLevel="0" collapsed="false">
      <c r="A947" s="29"/>
      <c r="B947" s="29"/>
      <c r="C947" s="31"/>
      <c r="D947" s="31"/>
      <c r="E947" s="35" t="str">
        <f aca="false">IF(OR(C947="",D947=""),"",MAX(1,D947-C947))</f>
        <v/>
      </c>
      <c r="F947" s="32"/>
      <c r="G947" s="36" t="str">
        <f aca="false">IF(B947="","",IFERROR(IF(N(INDEX(Fleet!$N$5:$N$79,MATCH(B947,Fleet!$A$5:$A$79,0)))&gt;0,INDEX(Fleet!$N$5:$N$79,MATCH(B947,Fleet!$A$5:$A$79,0)),Assumptions!$B$7),Assumptions!$B$7))</f>
        <v/>
      </c>
      <c r="H947" s="34" t="str">
        <f aca="false">IF(OR(F947="",G947=""),"",F947*G947)</f>
        <v/>
      </c>
      <c r="I947" s="32"/>
      <c r="J947" s="32"/>
      <c r="K947" s="37"/>
      <c r="L947" s="38" t="str">
        <f aca="false">IF(C947="","",DATE(YEAR(C947),MONTH(C947),1))</f>
        <v/>
      </c>
      <c r="M947" s="34" t="str">
        <f aca="false">IF(F947="","",N(H947)+N(I947)-N(J947))</f>
        <v/>
      </c>
      <c r="N947" s="29"/>
    </row>
    <row r="948" customFormat="false" ht="15" hidden="false" customHeight="false" outlineLevel="0" collapsed="false">
      <c r="A948" s="29"/>
      <c r="B948" s="29"/>
      <c r="C948" s="31"/>
      <c r="D948" s="31"/>
      <c r="E948" s="35" t="str">
        <f aca="false">IF(OR(C948="",D948=""),"",MAX(1,D948-C948))</f>
        <v/>
      </c>
      <c r="F948" s="32"/>
      <c r="G948" s="36" t="str">
        <f aca="false">IF(B948="","",IFERROR(IF(N(INDEX(Fleet!$N$5:$N$79,MATCH(B948,Fleet!$A$5:$A$79,0)))&gt;0,INDEX(Fleet!$N$5:$N$79,MATCH(B948,Fleet!$A$5:$A$79,0)),Assumptions!$B$7),Assumptions!$B$7))</f>
        <v/>
      </c>
      <c r="H948" s="34" t="str">
        <f aca="false">IF(OR(F948="",G948=""),"",F948*G948)</f>
        <v/>
      </c>
      <c r="I948" s="32"/>
      <c r="J948" s="32"/>
      <c r="K948" s="37"/>
      <c r="L948" s="38" t="str">
        <f aca="false">IF(C948="","",DATE(YEAR(C948),MONTH(C948),1))</f>
        <v/>
      </c>
      <c r="M948" s="34" t="str">
        <f aca="false">IF(F948="","",N(H948)+N(I948)-N(J948))</f>
        <v/>
      </c>
      <c r="N948" s="29"/>
    </row>
    <row r="949" customFormat="false" ht="15" hidden="false" customHeight="false" outlineLevel="0" collapsed="false">
      <c r="A949" s="29"/>
      <c r="B949" s="29"/>
      <c r="C949" s="31"/>
      <c r="D949" s="31"/>
      <c r="E949" s="35" t="str">
        <f aca="false">IF(OR(C949="",D949=""),"",MAX(1,D949-C949))</f>
        <v/>
      </c>
      <c r="F949" s="32"/>
      <c r="G949" s="36" t="str">
        <f aca="false">IF(B949="","",IFERROR(IF(N(INDEX(Fleet!$N$5:$N$79,MATCH(B949,Fleet!$A$5:$A$79,0)))&gt;0,INDEX(Fleet!$N$5:$N$79,MATCH(B949,Fleet!$A$5:$A$79,0)),Assumptions!$B$7),Assumptions!$B$7))</f>
        <v/>
      </c>
      <c r="H949" s="34" t="str">
        <f aca="false">IF(OR(F949="",G949=""),"",F949*G949)</f>
        <v/>
      </c>
      <c r="I949" s="32"/>
      <c r="J949" s="32"/>
      <c r="K949" s="37"/>
      <c r="L949" s="38" t="str">
        <f aca="false">IF(C949="","",DATE(YEAR(C949),MONTH(C949),1))</f>
        <v/>
      </c>
      <c r="M949" s="34" t="str">
        <f aca="false">IF(F949="","",N(H949)+N(I949)-N(J949))</f>
        <v/>
      </c>
      <c r="N949" s="29"/>
    </row>
    <row r="950" customFormat="false" ht="15" hidden="false" customHeight="false" outlineLevel="0" collapsed="false">
      <c r="A950" s="29"/>
      <c r="B950" s="29"/>
      <c r="C950" s="31"/>
      <c r="D950" s="31"/>
      <c r="E950" s="35" t="str">
        <f aca="false">IF(OR(C950="",D950=""),"",MAX(1,D950-C950))</f>
        <v/>
      </c>
      <c r="F950" s="32"/>
      <c r="G950" s="36" t="str">
        <f aca="false">IF(B950="","",IFERROR(IF(N(INDEX(Fleet!$N$5:$N$79,MATCH(B950,Fleet!$A$5:$A$79,0)))&gt;0,INDEX(Fleet!$N$5:$N$79,MATCH(B950,Fleet!$A$5:$A$79,0)),Assumptions!$B$7),Assumptions!$B$7))</f>
        <v/>
      </c>
      <c r="H950" s="34" t="str">
        <f aca="false">IF(OR(F950="",G950=""),"",F950*G950)</f>
        <v/>
      </c>
      <c r="I950" s="32"/>
      <c r="J950" s="32"/>
      <c r="K950" s="37"/>
      <c r="L950" s="38" t="str">
        <f aca="false">IF(C950="","",DATE(YEAR(C950),MONTH(C950),1))</f>
        <v/>
      </c>
      <c r="M950" s="34" t="str">
        <f aca="false">IF(F950="","",N(H950)+N(I950)-N(J950))</f>
        <v/>
      </c>
      <c r="N950" s="29"/>
    </row>
    <row r="951" customFormat="false" ht="15" hidden="false" customHeight="false" outlineLevel="0" collapsed="false">
      <c r="A951" s="29"/>
      <c r="B951" s="29"/>
      <c r="C951" s="31"/>
      <c r="D951" s="31"/>
      <c r="E951" s="35" t="str">
        <f aca="false">IF(OR(C951="",D951=""),"",MAX(1,D951-C951))</f>
        <v/>
      </c>
      <c r="F951" s="32"/>
      <c r="G951" s="36" t="str">
        <f aca="false">IF(B951="","",IFERROR(IF(N(INDEX(Fleet!$N$5:$N$79,MATCH(B951,Fleet!$A$5:$A$79,0)))&gt;0,INDEX(Fleet!$N$5:$N$79,MATCH(B951,Fleet!$A$5:$A$79,0)),Assumptions!$B$7),Assumptions!$B$7))</f>
        <v/>
      </c>
      <c r="H951" s="34" t="str">
        <f aca="false">IF(OR(F951="",G951=""),"",F951*G951)</f>
        <v/>
      </c>
      <c r="I951" s="32"/>
      <c r="J951" s="32"/>
      <c r="K951" s="37"/>
      <c r="L951" s="38" t="str">
        <f aca="false">IF(C951="","",DATE(YEAR(C951),MONTH(C951),1))</f>
        <v/>
      </c>
      <c r="M951" s="34" t="str">
        <f aca="false">IF(F951="","",N(H951)+N(I951)-N(J951))</f>
        <v/>
      </c>
      <c r="N951" s="29"/>
    </row>
    <row r="952" customFormat="false" ht="15" hidden="false" customHeight="false" outlineLevel="0" collapsed="false">
      <c r="A952" s="29"/>
      <c r="B952" s="29"/>
      <c r="C952" s="31"/>
      <c r="D952" s="31"/>
      <c r="E952" s="35" t="str">
        <f aca="false">IF(OR(C952="",D952=""),"",MAX(1,D952-C952))</f>
        <v/>
      </c>
      <c r="F952" s="32"/>
      <c r="G952" s="36" t="str">
        <f aca="false">IF(B952="","",IFERROR(IF(N(INDEX(Fleet!$N$5:$N$79,MATCH(B952,Fleet!$A$5:$A$79,0)))&gt;0,INDEX(Fleet!$N$5:$N$79,MATCH(B952,Fleet!$A$5:$A$79,0)),Assumptions!$B$7),Assumptions!$B$7))</f>
        <v/>
      </c>
      <c r="H952" s="34" t="str">
        <f aca="false">IF(OR(F952="",G952=""),"",F952*G952)</f>
        <v/>
      </c>
      <c r="I952" s="32"/>
      <c r="J952" s="32"/>
      <c r="K952" s="37"/>
      <c r="L952" s="38" t="str">
        <f aca="false">IF(C952="","",DATE(YEAR(C952),MONTH(C952),1))</f>
        <v/>
      </c>
      <c r="M952" s="34" t="str">
        <f aca="false">IF(F952="","",N(H952)+N(I952)-N(J952))</f>
        <v/>
      </c>
      <c r="N952" s="29"/>
    </row>
    <row r="953" customFormat="false" ht="15" hidden="false" customHeight="false" outlineLevel="0" collapsed="false">
      <c r="A953" s="29"/>
      <c r="B953" s="29"/>
      <c r="C953" s="31"/>
      <c r="D953" s="31"/>
      <c r="E953" s="35" t="str">
        <f aca="false">IF(OR(C953="",D953=""),"",MAX(1,D953-C953))</f>
        <v/>
      </c>
      <c r="F953" s="32"/>
      <c r="G953" s="36" t="str">
        <f aca="false">IF(B953="","",IFERROR(IF(N(INDEX(Fleet!$N$5:$N$79,MATCH(B953,Fleet!$A$5:$A$79,0)))&gt;0,INDEX(Fleet!$N$5:$N$79,MATCH(B953,Fleet!$A$5:$A$79,0)),Assumptions!$B$7),Assumptions!$B$7))</f>
        <v/>
      </c>
      <c r="H953" s="34" t="str">
        <f aca="false">IF(OR(F953="",G953=""),"",F953*G953)</f>
        <v/>
      </c>
      <c r="I953" s="32"/>
      <c r="J953" s="32"/>
      <c r="K953" s="37"/>
      <c r="L953" s="38" t="str">
        <f aca="false">IF(C953="","",DATE(YEAR(C953),MONTH(C953),1))</f>
        <v/>
      </c>
      <c r="M953" s="34" t="str">
        <f aca="false">IF(F953="","",N(H953)+N(I953)-N(J953))</f>
        <v/>
      </c>
      <c r="N953" s="29"/>
    </row>
    <row r="954" customFormat="false" ht="15" hidden="false" customHeight="false" outlineLevel="0" collapsed="false">
      <c r="A954" s="29"/>
      <c r="B954" s="29"/>
      <c r="C954" s="31"/>
      <c r="D954" s="31"/>
      <c r="E954" s="35" t="str">
        <f aca="false">IF(OR(C954="",D954=""),"",MAX(1,D954-C954))</f>
        <v/>
      </c>
      <c r="F954" s="32"/>
      <c r="G954" s="36" t="str">
        <f aca="false">IF(B954="","",IFERROR(IF(N(INDEX(Fleet!$N$5:$N$79,MATCH(B954,Fleet!$A$5:$A$79,0)))&gt;0,INDEX(Fleet!$N$5:$N$79,MATCH(B954,Fleet!$A$5:$A$79,0)),Assumptions!$B$7),Assumptions!$B$7))</f>
        <v/>
      </c>
      <c r="H954" s="34" t="str">
        <f aca="false">IF(OR(F954="",G954=""),"",F954*G954)</f>
        <v/>
      </c>
      <c r="I954" s="32"/>
      <c r="J954" s="32"/>
      <c r="K954" s="37"/>
      <c r="L954" s="38" t="str">
        <f aca="false">IF(C954="","",DATE(YEAR(C954),MONTH(C954),1))</f>
        <v/>
      </c>
      <c r="M954" s="34" t="str">
        <f aca="false">IF(F954="","",N(H954)+N(I954)-N(J954))</f>
        <v/>
      </c>
      <c r="N954" s="29"/>
    </row>
    <row r="955" customFormat="false" ht="15" hidden="false" customHeight="false" outlineLevel="0" collapsed="false">
      <c r="A955" s="29"/>
      <c r="B955" s="29"/>
      <c r="C955" s="31"/>
      <c r="D955" s="31"/>
      <c r="E955" s="35" t="str">
        <f aca="false">IF(OR(C955="",D955=""),"",MAX(1,D955-C955))</f>
        <v/>
      </c>
      <c r="F955" s="32"/>
      <c r="G955" s="36" t="str">
        <f aca="false">IF(B955="","",IFERROR(IF(N(INDEX(Fleet!$N$5:$N$79,MATCH(B955,Fleet!$A$5:$A$79,0)))&gt;0,INDEX(Fleet!$N$5:$N$79,MATCH(B955,Fleet!$A$5:$A$79,0)),Assumptions!$B$7),Assumptions!$B$7))</f>
        <v/>
      </c>
      <c r="H955" s="34" t="str">
        <f aca="false">IF(OR(F955="",G955=""),"",F955*G955)</f>
        <v/>
      </c>
      <c r="I955" s="32"/>
      <c r="J955" s="32"/>
      <c r="K955" s="37"/>
      <c r="L955" s="38" t="str">
        <f aca="false">IF(C955="","",DATE(YEAR(C955),MONTH(C955),1))</f>
        <v/>
      </c>
      <c r="M955" s="34" t="str">
        <f aca="false">IF(F955="","",N(H955)+N(I955)-N(J955))</f>
        <v/>
      </c>
      <c r="N955" s="29"/>
    </row>
    <row r="956" customFormat="false" ht="15" hidden="false" customHeight="false" outlineLevel="0" collapsed="false">
      <c r="A956" s="29"/>
      <c r="B956" s="29"/>
      <c r="C956" s="31"/>
      <c r="D956" s="31"/>
      <c r="E956" s="35" t="str">
        <f aca="false">IF(OR(C956="",D956=""),"",MAX(1,D956-C956))</f>
        <v/>
      </c>
      <c r="F956" s="32"/>
      <c r="G956" s="36" t="str">
        <f aca="false">IF(B956="","",IFERROR(IF(N(INDEX(Fleet!$N$5:$N$79,MATCH(B956,Fleet!$A$5:$A$79,0)))&gt;0,INDEX(Fleet!$N$5:$N$79,MATCH(B956,Fleet!$A$5:$A$79,0)),Assumptions!$B$7),Assumptions!$B$7))</f>
        <v/>
      </c>
      <c r="H956" s="34" t="str">
        <f aca="false">IF(OR(F956="",G956=""),"",F956*G956)</f>
        <v/>
      </c>
      <c r="I956" s="32"/>
      <c r="J956" s="32"/>
      <c r="K956" s="37"/>
      <c r="L956" s="38" t="str">
        <f aca="false">IF(C956="","",DATE(YEAR(C956),MONTH(C956),1))</f>
        <v/>
      </c>
      <c r="M956" s="34" t="str">
        <f aca="false">IF(F956="","",N(H956)+N(I956)-N(J956))</f>
        <v/>
      </c>
      <c r="N956" s="29"/>
    </row>
    <row r="957" customFormat="false" ht="15" hidden="false" customHeight="false" outlineLevel="0" collapsed="false">
      <c r="A957" s="29"/>
      <c r="B957" s="29"/>
      <c r="C957" s="31"/>
      <c r="D957" s="31"/>
      <c r="E957" s="35" t="str">
        <f aca="false">IF(OR(C957="",D957=""),"",MAX(1,D957-C957))</f>
        <v/>
      </c>
      <c r="F957" s="32"/>
      <c r="G957" s="36" t="str">
        <f aca="false">IF(B957="","",IFERROR(IF(N(INDEX(Fleet!$N$5:$N$79,MATCH(B957,Fleet!$A$5:$A$79,0)))&gt;0,INDEX(Fleet!$N$5:$N$79,MATCH(B957,Fleet!$A$5:$A$79,0)),Assumptions!$B$7),Assumptions!$B$7))</f>
        <v/>
      </c>
      <c r="H957" s="34" t="str">
        <f aca="false">IF(OR(F957="",G957=""),"",F957*G957)</f>
        <v/>
      </c>
      <c r="I957" s="32"/>
      <c r="J957" s="32"/>
      <c r="K957" s="37"/>
      <c r="L957" s="38" t="str">
        <f aca="false">IF(C957="","",DATE(YEAR(C957),MONTH(C957),1))</f>
        <v/>
      </c>
      <c r="M957" s="34" t="str">
        <f aca="false">IF(F957="","",N(H957)+N(I957)-N(J957))</f>
        <v/>
      </c>
      <c r="N957" s="29"/>
    </row>
    <row r="958" customFormat="false" ht="15" hidden="false" customHeight="false" outlineLevel="0" collapsed="false">
      <c r="A958" s="29"/>
      <c r="B958" s="29"/>
      <c r="C958" s="31"/>
      <c r="D958" s="31"/>
      <c r="E958" s="35" t="str">
        <f aca="false">IF(OR(C958="",D958=""),"",MAX(1,D958-C958))</f>
        <v/>
      </c>
      <c r="F958" s="32"/>
      <c r="G958" s="36" t="str">
        <f aca="false">IF(B958="","",IFERROR(IF(N(INDEX(Fleet!$N$5:$N$79,MATCH(B958,Fleet!$A$5:$A$79,0)))&gt;0,INDEX(Fleet!$N$5:$N$79,MATCH(B958,Fleet!$A$5:$A$79,0)),Assumptions!$B$7),Assumptions!$B$7))</f>
        <v/>
      </c>
      <c r="H958" s="34" t="str">
        <f aca="false">IF(OR(F958="",G958=""),"",F958*G958)</f>
        <v/>
      </c>
      <c r="I958" s="32"/>
      <c r="J958" s="32"/>
      <c r="K958" s="37"/>
      <c r="L958" s="38" t="str">
        <f aca="false">IF(C958="","",DATE(YEAR(C958),MONTH(C958),1))</f>
        <v/>
      </c>
      <c r="M958" s="34" t="str">
        <f aca="false">IF(F958="","",N(H958)+N(I958)-N(J958))</f>
        <v/>
      </c>
      <c r="N958" s="29"/>
    </row>
    <row r="959" customFormat="false" ht="15" hidden="false" customHeight="false" outlineLevel="0" collapsed="false">
      <c r="A959" s="29"/>
      <c r="B959" s="29"/>
      <c r="C959" s="31"/>
      <c r="D959" s="31"/>
      <c r="E959" s="35" t="str">
        <f aca="false">IF(OR(C959="",D959=""),"",MAX(1,D959-C959))</f>
        <v/>
      </c>
      <c r="F959" s="32"/>
      <c r="G959" s="36" t="str">
        <f aca="false">IF(B959="","",IFERROR(IF(N(INDEX(Fleet!$N$5:$N$79,MATCH(B959,Fleet!$A$5:$A$79,0)))&gt;0,INDEX(Fleet!$N$5:$N$79,MATCH(B959,Fleet!$A$5:$A$79,0)),Assumptions!$B$7),Assumptions!$B$7))</f>
        <v/>
      </c>
      <c r="H959" s="34" t="str">
        <f aca="false">IF(OR(F959="",G959=""),"",F959*G959)</f>
        <v/>
      </c>
      <c r="I959" s="32"/>
      <c r="J959" s="32"/>
      <c r="K959" s="37"/>
      <c r="L959" s="38" t="str">
        <f aca="false">IF(C959="","",DATE(YEAR(C959),MONTH(C959),1))</f>
        <v/>
      </c>
      <c r="M959" s="34" t="str">
        <f aca="false">IF(F959="","",N(H959)+N(I959)-N(J959))</f>
        <v/>
      </c>
      <c r="N959" s="29"/>
    </row>
    <row r="960" customFormat="false" ht="15" hidden="false" customHeight="false" outlineLevel="0" collapsed="false">
      <c r="A960" s="29"/>
      <c r="B960" s="29"/>
      <c r="C960" s="31"/>
      <c r="D960" s="31"/>
      <c r="E960" s="35" t="str">
        <f aca="false">IF(OR(C960="",D960=""),"",MAX(1,D960-C960))</f>
        <v/>
      </c>
      <c r="F960" s="32"/>
      <c r="G960" s="36" t="str">
        <f aca="false">IF(B960="","",IFERROR(IF(N(INDEX(Fleet!$N$5:$N$79,MATCH(B960,Fleet!$A$5:$A$79,0)))&gt;0,INDEX(Fleet!$N$5:$N$79,MATCH(B960,Fleet!$A$5:$A$79,0)),Assumptions!$B$7),Assumptions!$B$7))</f>
        <v/>
      </c>
      <c r="H960" s="34" t="str">
        <f aca="false">IF(OR(F960="",G960=""),"",F960*G960)</f>
        <v/>
      </c>
      <c r="I960" s="32"/>
      <c r="J960" s="32"/>
      <c r="K960" s="37"/>
      <c r="L960" s="38" t="str">
        <f aca="false">IF(C960="","",DATE(YEAR(C960),MONTH(C960),1))</f>
        <v/>
      </c>
      <c r="M960" s="34" t="str">
        <f aca="false">IF(F960="","",N(H960)+N(I960)-N(J960))</f>
        <v/>
      </c>
      <c r="N960" s="29"/>
    </row>
    <row r="961" customFormat="false" ht="15" hidden="false" customHeight="false" outlineLevel="0" collapsed="false">
      <c r="A961" s="29"/>
      <c r="B961" s="29"/>
      <c r="C961" s="31"/>
      <c r="D961" s="31"/>
      <c r="E961" s="35" t="str">
        <f aca="false">IF(OR(C961="",D961=""),"",MAX(1,D961-C961))</f>
        <v/>
      </c>
      <c r="F961" s="32"/>
      <c r="G961" s="36" t="str">
        <f aca="false">IF(B961="","",IFERROR(IF(N(INDEX(Fleet!$N$5:$N$79,MATCH(B961,Fleet!$A$5:$A$79,0)))&gt;0,INDEX(Fleet!$N$5:$N$79,MATCH(B961,Fleet!$A$5:$A$79,0)),Assumptions!$B$7),Assumptions!$B$7))</f>
        <v/>
      </c>
      <c r="H961" s="34" t="str">
        <f aca="false">IF(OR(F961="",G961=""),"",F961*G961)</f>
        <v/>
      </c>
      <c r="I961" s="32"/>
      <c r="J961" s="32"/>
      <c r="K961" s="37"/>
      <c r="L961" s="38" t="str">
        <f aca="false">IF(C961="","",DATE(YEAR(C961),MONTH(C961),1))</f>
        <v/>
      </c>
      <c r="M961" s="34" t="str">
        <f aca="false">IF(F961="","",N(H961)+N(I961)-N(J961))</f>
        <v/>
      </c>
      <c r="N961" s="29"/>
    </row>
    <row r="962" customFormat="false" ht="15" hidden="false" customHeight="false" outlineLevel="0" collapsed="false">
      <c r="A962" s="29"/>
      <c r="B962" s="29"/>
      <c r="C962" s="31"/>
      <c r="D962" s="31"/>
      <c r="E962" s="35" t="str">
        <f aca="false">IF(OR(C962="",D962=""),"",MAX(1,D962-C962))</f>
        <v/>
      </c>
      <c r="F962" s="32"/>
      <c r="G962" s="36" t="str">
        <f aca="false">IF(B962="","",IFERROR(IF(N(INDEX(Fleet!$N$5:$N$79,MATCH(B962,Fleet!$A$5:$A$79,0)))&gt;0,INDEX(Fleet!$N$5:$N$79,MATCH(B962,Fleet!$A$5:$A$79,0)),Assumptions!$B$7),Assumptions!$B$7))</f>
        <v/>
      </c>
      <c r="H962" s="34" t="str">
        <f aca="false">IF(OR(F962="",G962=""),"",F962*G962)</f>
        <v/>
      </c>
      <c r="I962" s="32"/>
      <c r="J962" s="32"/>
      <c r="K962" s="37"/>
      <c r="L962" s="38" t="str">
        <f aca="false">IF(C962="","",DATE(YEAR(C962),MONTH(C962),1))</f>
        <v/>
      </c>
      <c r="M962" s="34" t="str">
        <f aca="false">IF(F962="","",N(H962)+N(I962)-N(J962))</f>
        <v/>
      </c>
      <c r="N962" s="29"/>
    </row>
    <row r="963" customFormat="false" ht="15" hidden="false" customHeight="false" outlineLevel="0" collapsed="false">
      <c r="A963" s="29"/>
      <c r="B963" s="29"/>
      <c r="C963" s="31"/>
      <c r="D963" s="31"/>
      <c r="E963" s="35" t="str">
        <f aca="false">IF(OR(C963="",D963=""),"",MAX(1,D963-C963))</f>
        <v/>
      </c>
      <c r="F963" s="32"/>
      <c r="G963" s="36" t="str">
        <f aca="false">IF(B963="","",IFERROR(IF(N(INDEX(Fleet!$N$5:$N$79,MATCH(B963,Fleet!$A$5:$A$79,0)))&gt;0,INDEX(Fleet!$N$5:$N$79,MATCH(B963,Fleet!$A$5:$A$79,0)),Assumptions!$B$7),Assumptions!$B$7))</f>
        <v/>
      </c>
      <c r="H963" s="34" t="str">
        <f aca="false">IF(OR(F963="",G963=""),"",F963*G963)</f>
        <v/>
      </c>
      <c r="I963" s="32"/>
      <c r="J963" s="32"/>
      <c r="K963" s="37"/>
      <c r="L963" s="38" t="str">
        <f aca="false">IF(C963="","",DATE(YEAR(C963),MONTH(C963),1))</f>
        <v/>
      </c>
      <c r="M963" s="34" t="str">
        <f aca="false">IF(F963="","",N(H963)+N(I963)-N(J963))</f>
        <v/>
      </c>
      <c r="N963" s="29"/>
    </row>
    <row r="964" customFormat="false" ht="15" hidden="false" customHeight="false" outlineLevel="0" collapsed="false">
      <c r="A964" s="29"/>
      <c r="B964" s="29"/>
      <c r="C964" s="31"/>
      <c r="D964" s="31"/>
      <c r="E964" s="35" t="str">
        <f aca="false">IF(OR(C964="",D964=""),"",MAX(1,D964-C964))</f>
        <v/>
      </c>
      <c r="F964" s="32"/>
      <c r="G964" s="36" t="str">
        <f aca="false">IF(B964="","",IFERROR(IF(N(INDEX(Fleet!$N$5:$N$79,MATCH(B964,Fleet!$A$5:$A$79,0)))&gt;0,INDEX(Fleet!$N$5:$N$79,MATCH(B964,Fleet!$A$5:$A$79,0)),Assumptions!$B$7),Assumptions!$B$7))</f>
        <v/>
      </c>
      <c r="H964" s="34" t="str">
        <f aca="false">IF(OR(F964="",G964=""),"",F964*G964)</f>
        <v/>
      </c>
      <c r="I964" s="32"/>
      <c r="J964" s="32"/>
      <c r="K964" s="37"/>
      <c r="L964" s="38" t="str">
        <f aca="false">IF(C964="","",DATE(YEAR(C964),MONTH(C964),1))</f>
        <v/>
      </c>
      <c r="M964" s="34" t="str">
        <f aca="false">IF(F964="","",N(H964)+N(I964)-N(J964))</f>
        <v/>
      </c>
      <c r="N964" s="29"/>
    </row>
    <row r="965" customFormat="false" ht="15" hidden="false" customHeight="false" outlineLevel="0" collapsed="false">
      <c r="A965" s="29"/>
      <c r="B965" s="29"/>
      <c r="C965" s="31"/>
      <c r="D965" s="31"/>
      <c r="E965" s="35" t="str">
        <f aca="false">IF(OR(C965="",D965=""),"",MAX(1,D965-C965))</f>
        <v/>
      </c>
      <c r="F965" s="32"/>
      <c r="G965" s="36" t="str">
        <f aca="false">IF(B965="","",IFERROR(IF(N(INDEX(Fleet!$N$5:$N$79,MATCH(B965,Fleet!$A$5:$A$79,0)))&gt;0,INDEX(Fleet!$N$5:$N$79,MATCH(B965,Fleet!$A$5:$A$79,0)),Assumptions!$B$7),Assumptions!$B$7))</f>
        <v/>
      </c>
      <c r="H965" s="34" t="str">
        <f aca="false">IF(OR(F965="",G965=""),"",F965*G965)</f>
        <v/>
      </c>
      <c r="I965" s="32"/>
      <c r="J965" s="32"/>
      <c r="K965" s="37"/>
      <c r="L965" s="38" t="str">
        <f aca="false">IF(C965="","",DATE(YEAR(C965),MONTH(C965),1))</f>
        <v/>
      </c>
      <c r="M965" s="34" t="str">
        <f aca="false">IF(F965="","",N(H965)+N(I965)-N(J965))</f>
        <v/>
      </c>
      <c r="N965" s="29"/>
    </row>
    <row r="966" customFormat="false" ht="15" hidden="false" customHeight="false" outlineLevel="0" collapsed="false">
      <c r="A966" s="29"/>
      <c r="B966" s="29"/>
      <c r="C966" s="31"/>
      <c r="D966" s="31"/>
      <c r="E966" s="35" t="str">
        <f aca="false">IF(OR(C966="",D966=""),"",MAX(1,D966-C966))</f>
        <v/>
      </c>
      <c r="F966" s="32"/>
      <c r="G966" s="36" t="str">
        <f aca="false">IF(B966="","",IFERROR(IF(N(INDEX(Fleet!$N$5:$N$79,MATCH(B966,Fleet!$A$5:$A$79,0)))&gt;0,INDEX(Fleet!$N$5:$N$79,MATCH(B966,Fleet!$A$5:$A$79,0)),Assumptions!$B$7),Assumptions!$B$7))</f>
        <v/>
      </c>
      <c r="H966" s="34" t="str">
        <f aca="false">IF(OR(F966="",G966=""),"",F966*G966)</f>
        <v/>
      </c>
      <c r="I966" s="32"/>
      <c r="J966" s="32"/>
      <c r="K966" s="37"/>
      <c r="L966" s="38" t="str">
        <f aca="false">IF(C966="","",DATE(YEAR(C966),MONTH(C966),1))</f>
        <v/>
      </c>
      <c r="M966" s="34" t="str">
        <f aca="false">IF(F966="","",N(H966)+N(I966)-N(J966))</f>
        <v/>
      </c>
      <c r="N966" s="29"/>
    </row>
    <row r="967" customFormat="false" ht="15" hidden="false" customHeight="false" outlineLevel="0" collapsed="false">
      <c r="A967" s="29"/>
      <c r="B967" s="29"/>
      <c r="C967" s="31"/>
      <c r="D967" s="31"/>
      <c r="E967" s="35" t="str">
        <f aca="false">IF(OR(C967="",D967=""),"",MAX(1,D967-C967))</f>
        <v/>
      </c>
      <c r="F967" s="32"/>
      <c r="G967" s="36" t="str">
        <f aca="false">IF(B967="","",IFERROR(IF(N(INDEX(Fleet!$N$5:$N$79,MATCH(B967,Fleet!$A$5:$A$79,0)))&gt;0,INDEX(Fleet!$N$5:$N$79,MATCH(B967,Fleet!$A$5:$A$79,0)),Assumptions!$B$7),Assumptions!$B$7))</f>
        <v/>
      </c>
      <c r="H967" s="34" t="str">
        <f aca="false">IF(OR(F967="",G967=""),"",F967*G967)</f>
        <v/>
      </c>
      <c r="I967" s="32"/>
      <c r="J967" s="32"/>
      <c r="K967" s="37"/>
      <c r="L967" s="38" t="str">
        <f aca="false">IF(C967="","",DATE(YEAR(C967),MONTH(C967),1))</f>
        <v/>
      </c>
      <c r="M967" s="34" t="str">
        <f aca="false">IF(F967="","",N(H967)+N(I967)-N(J967))</f>
        <v/>
      </c>
      <c r="N967" s="29"/>
    </row>
    <row r="968" customFormat="false" ht="15" hidden="false" customHeight="false" outlineLevel="0" collapsed="false">
      <c r="A968" s="29"/>
      <c r="B968" s="29"/>
      <c r="C968" s="31"/>
      <c r="D968" s="31"/>
      <c r="E968" s="35" t="str">
        <f aca="false">IF(OR(C968="",D968=""),"",MAX(1,D968-C968))</f>
        <v/>
      </c>
      <c r="F968" s="32"/>
      <c r="G968" s="36" t="str">
        <f aca="false">IF(B968="","",IFERROR(IF(N(INDEX(Fleet!$N$5:$N$79,MATCH(B968,Fleet!$A$5:$A$79,0)))&gt;0,INDEX(Fleet!$N$5:$N$79,MATCH(B968,Fleet!$A$5:$A$79,0)),Assumptions!$B$7),Assumptions!$B$7))</f>
        <v/>
      </c>
      <c r="H968" s="34" t="str">
        <f aca="false">IF(OR(F968="",G968=""),"",F968*G968)</f>
        <v/>
      </c>
      <c r="I968" s="32"/>
      <c r="J968" s="32"/>
      <c r="K968" s="37"/>
      <c r="L968" s="38" t="str">
        <f aca="false">IF(C968="","",DATE(YEAR(C968),MONTH(C968),1))</f>
        <v/>
      </c>
      <c r="M968" s="34" t="str">
        <f aca="false">IF(F968="","",N(H968)+N(I968)-N(J968))</f>
        <v/>
      </c>
      <c r="N968" s="29"/>
    </row>
    <row r="969" customFormat="false" ht="15" hidden="false" customHeight="false" outlineLevel="0" collapsed="false">
      <c r="A969" s="29"/>
      <c r="B969" s="29"/>
      <c r="C969" s="31"/>
      <c r="D969" s="31"/>
      <c r="E969" s="35" t="str">
        <f aca="false">IF(OR(C969="",D969=""),"",MAX(1,D969-C969))</f>
        <v/>
      </c>
      <c r="F969" s="32"/>
      <c r="G969" s="36" t="str">
        <f aca="false">IF(B969="","",IFERROR(IF(N(INDEX(Fleet!$N$5:$N$79,MATCH(B969,Fleet!$A$5:$A$79,0)))&gt;0,INDEX(Fleet!$N$5:$N$79,MATCH(B969,Fleet!$A$5:$A$79,0)),Assumptions!$B$7),Assumptions!$B$7))</f>
        <v/>
      </c>
      <c r="H969" s="34" t="str">
        <f aca="false">IF(OR(F969="",G969=""),"",F969*G969)</f>
        <v/>
      </c>
      <c r="I969" s="32"/>
      <c r="J969" s="32"/>
      <c r="K969" s="37"/>
      <c r="L969" s="38" t="str">
        <f aca="false">IF(C969="","",DATE(YEAR(C969),MONTH(C969),1))</f>
        <v/>
      </c>
      <c r="M969" s="34" t="str">
        <f aca="false">IF(F969="","",N(H969)+N(I969)-N(J969))</f>
        <v/>
      </c>
      <c r="N969" s="29"/>
    </row>
    <row r="970" customFormat="false" ht="15" hidden="false" customHeight="false" outlineLevel="0" collapsed="false">
      <c r="A970" s="29"/>
      <c r="B970" s="29"/>
      <c r="C970" s="31"/>
      <c r="D970" s="31"/>
      <c r="E970" s="35" t="str">
        <f aca="false">IF(OR(C970="",D970=""),"",MAX(1,D970-C970))</f>
        <v/>
      </c>
      <c r="F970" s="32"/>
      <c r="G970" s="36" t="str">
        <f aca="false">IF(B970="","",IFERROR(IF(N(INDEX(Fleet!$N$5:$N$79,MATCH(B970,Fleet!$A$5:$A$79,0)))&gt;0,INDEX(Fleet!$N$5:$N$79,MATCH(B970,Fleet!$A$5:$A$79,0)),Assumptions!$B$7),Assumptions!$B$7))</f>
        <v/>
      </c>
      <c r="H970" s="34" t="str">
        <f aca="false">IF(OR(F970="",G970=""),"",F970*G970)</f>
        <v/>
      </c>
      <c r="I970" s="32"/>
      <c r="J970" s="32"/>
      <c r="K970" s="37"/>
      <c r="L970" s="38" t="str">
        <f aca="false">IF(C970="","",DATE(YEAR(C970),MONTH(C970),1))</f>
        <v/>
      </c>
      <c r="M970" s="34" t="str">
        <f aca="false">IF(F970="","",N(H970)+N(I970)-N(J970))</f>
        <v/>
      </c>
      <c r="N970" s="29"/>
    </row>
    <row r="971" customFormat="false" ht="15" hidden="false" customHeight="false" outlineLevel="0" collapsed="false">
      <c r="A971" s="29"/>
      <c r="B971" s="29"/>
      <c r="C971" s="31"/>
      <c r="D971" s="31"/>
      <c r="E971" s="35" t="str">
        <f aca="false">IF(OR(C971="",D971=""),"",MAX(1,D971-C971))</f>
        <v/>
      </c>
      <c r="F971" s="32"/>
      <c r="G971" s="36" t="str">
        <f aca="false">IF(B971="","",IFERROR(IF(N(INDEX(Fleet!$N$5:$N$79,MATCH(B971,Fleet!$A$5:$A$79,0)))&gt;0,INDEX(Fleet!$N$5:$N$79,MATCH(B971,Fleet!$A$5:$A$79,0)),Assumptions!$B$7),Assumptions!$B$7))</f>
        <v/>
      </c>
      <c r="H971" s="34" t="str">
        <f aca="false">IF(OR(F971="",G971=""),"",F971*G971)</f>
        <v/>
      </c>
      <c r="I971" s="32"/>
      <c r="J971" s="32"/>
      <c r="K971" s="37"/>
      <c r="L971" s="38" t="str">
        <f aca="false">IF(C971="","",DATE(YEAR(C971),MONTH(C971),1))</f>
        <v/>
      </c>
      <c r="M971" s="34" t="str">
        <f aca="false">IF(F971="","",N(H971)+N(I971)-N(J971))</f>
        <v/>
      </c>
      <c r="N971" s="29"/>
    </row>
    <row r="972" customFormat="false" ht="15" hidden="false" customHeight="false" outlineLevel="0" collapsed="false">
      <c r="A972" s="29"/>
      <c r="B972" s="29"/>
      <c r="C972" s="31"/>
      <c r="D972" s="31"/>
      <c r="E972" s="35" t="str">
        <f aca="false">IF(OR(C972="",D972=""),"",MAX(1,D972-C972))</f>
        <v/>
      </c>
      <c r="F972" s="32"/>
      <c r="G972" s="36" t="str">
        <f aca="false">IF(B972="","",IFERROR(IF(N(INDEX(Fleet!$N$5:$N$79,MATCH(B972,Fleet!$A$5:$A$79,0)))&gt;0,INDEX(Fleet!$N$5:$N$79,MATCH(B972,Fleet!$A$5:$A$79,0)),Assumptions!$B$7),Assumptions!$B$7))</f>
        <v/>
      </c>
      <c r="H972" s="34" t="str">
        <f aca="false">IF(OR(F972="",G972=""),"",F972*G972)</f>
        <v/>
      </c>
      <c r="I972" s="32"/>
      <c r="J972" s="32"/>
      <c r="K972" s="37"/>
      <c r="L972" s="38" t="str">
        <f aca="false">IF(C972="","",DATE(YEAR(C972),MONTH(C972),1))</f>
        <v/>
      </c>
      <c r="M972" s="34" t="str">
        <f aca="false">IF(F972="","",N(H972)+N(I972)-N(J972))</f>
        <v/>
      </c>
      <c r="N972" s="29"/>
    </row>
    <row r="973" customFormat="false" ht="15" hidden="false" customHeight="false" outlineLevel="0" collapsed="false">
      <c r="A973" s="29"/>
      <c r="B973" s="29"/>
      <c r="C973" s="31"/>
      <c r="D973" s="31"/>
      <c r="E973" s="35" t="str">
        <f aca="false">IF(OR(C973="",D973=""),"",MAX(1,D973-C973))</f>
        <v/>
      </c>
      <c r="F973" s="32"/>
      <c r="G973" s="36" t="str">
        <f aca="false">IF(B973="","",IFERROR(IF(N(INDEX(Fleet!$N$5:$N$79,MATCH(B973,Fleet!$A$5:$A$79,0)))&gt;0,INDEX(Fleet!$N$5:$N$79,MATCH(B973,Fleet!$A$5:$A$79,0)),Assumptions!$B$7),Assumptions!$B$7))</f>
        <v/>
      </c>
      <c r="H973" s="34" t="str">
        <f aca="false">IF(OR(F973="",G973=""),"",F973*G973)</f>
        <v/>
      </c>
      <c r="I973" s="32"/>
      <c r="J973" s="32"/>
      <c r="K973" s="37"/>
      <c r="L973" s="38" t="str">
        <f aca="false">IF(C973="","",DATE(YEAR(C973),MONTH(C973),1))</f>
        <v/>
      </c>
      <c r="M973" s="34" t="str">
        <f aca="false">IF(F973="","",N(H973)+N(I973)-N(J973))</f>
        <v/>
      </c>
      <c r="N973" s="29"/>
    </row>
    <row r="974" customFormat="false" ht="15" hidden="false" customHeight="false" outlineLevel="0" collapsed="false">
      <c r="A974" s="29"/>
      <c r="B974" s="29"/>
      <c r="C974" s="31"/>
      <c r="D974" s="31"/>
      <c r="E974" s="35" t="str">
        <f aca="false">IF(OR(C974="",D974=""),"",MAX(1,D974-C974))</f>
        <v/>
      </c>
      <c r="F974" s="32"/>
      <c r="G974" s="36" t="str">
        <f aca="false">IF(B974="","",IFERROR(IF(N(INDEX(Fleet!$N$5:$N$79,MATCH(B974,Fleet!$A$5:$A$79,0)))&gt;0,INDEX(Fleet!$N$5:$N$79,MATCH(B974,Fleet!$A$5:$A$79,0)),Assumptions!$B$7),Assumptions!$B$7))</f>
        <v/>
      </c>
      <c r="H974" s="34" t="str">
        <f aca="false">IF(OR(F974="",G974=""),"",F974*G974)</f>
        <v/>
      </c>
      <c r="I974" s="32"/>
      <c r="J974" s="32"/>
      <c r="K974" s="37"/>
      <c r="L974" s="38" t="str">
        <f aca="false">IF(C974="","",DATE(YEAR(C974),MONTH(C974),1))</f>
        <v/>
      </c>
      <c r="M974" s="34" t="str">
        <f aca="false">IF(F974="","",N(H974)+N(I974)-N(J974))</f>
        <v/>
      </c>
      <c r="N974" s="29"/>
    </row>
    <row r="975" customFormat="false" ht="15" hidden="false" customHeight="false" outlineLevel="0" collapsed="false">
      <c r="A975" s="29"/>
      <c r="B975" s="29"/>
      <c r="C975" s="31"/>
      <c r="D975" s="31"/>
      <c r="E975" s="35" t="str">
        <f aca="false">IF(OR(C975="",D975=""),"",MAX(1,D975-C975))</f>
        <v/>
      </c>
      <c r="F975" s="32"/>
      <c r="G975" s="36" t="str">
        <f aca="false">IF(B975="","",IFERROR(IF(N(INDEX(Fleet!$N$5:$N$79,MATCH(B975,Fleet!$A$5:$A$79,0)))&gt;0,INDEX(Fleet!$N$5:$N$79,MATCH(B975,Fleet!$A$5:$A$79,0)),Assumptions!$B$7),Assumptions!$B$7))</f>
        <v/>
      </c>
      <c r="H975" s="34" t="str">
        <f aca="false">IF(OR(F975="",G975=""),"",F975*G975)</f>
        <v/>
      </c>
      <c r="I975" s="32"/>
      <c r="J975" s="32"/>
      <c r="K975" s="37"/>
      <c r="L975" s="38" t="str">
        <f aca="false">IF(C975="","",DATE(YEAR(C975),MONTH(C975),1))</f>
        <v/>
      </c>
      <c r="M975" s="34" t="str">
        <f aca="false">IF(F975="","",N(H975)+N(I975)-N(J975))</f>
        <v/>
      </c>
      <c r="N975" s="29"/>
    </row>
    <row r="976" customFormat="false" ht="15" hidden="false" customHeight="false" outlineLevel="0" collapsed="false">
      <c r="A976" s="29"/>
      <c r="B976" s="29"/>
      <c r="C976" s="31"/>
      <c r="D976" s="31"/>
      <c r="E976" s="35" t="str">
        <f aca="false">IF(OR(C976="",D976=""),"",MAX(1,D976-C976))</f>
        <v/>
      </c>
      <c r="F976" s="32"/>
      <c r="G976" s="36" t="str">
        <f aca="false">IF(B976="","",IFERROR(IF(N(INDEX(Fleet!$N$5:$N$79,MATCH(B976,Fleet!$A$5:$A$79,0)))&gt;0,INDEX(Fleet!$N$5:$N$79,MATCH(B976,Fleet!$A$5:$A$79,0)),Assumptions!$B$7),Assumptions!$B$7))</f>
        <v/>
      </c>
      <c r="H976" s="34" t="str">
        <f aca="false">IF(OR(F976="",G976=""),"",F976*G976)</f>
        <v/>
      </c>
      <c r="I976" s="32"/>
      <c r="J976" s="32"/>
      <c r="K976" s="37"/>
      <c r="L976" s="38" t="str">
        <f aca="false">IF(C976="","",DATE(YEAR(C976),MONTH(C976),1))</f>
        <v/>
      </c>
      <c r="M976" s="34" t="str">
        <f aca="false">IF(F976="","",N(H976)+N(I976)-N(J976))</f>
        <v/>
      </c>
      <c r="N976" s="29"/>
    </row>
    <row r="977" customFormat="false" ht="15" hidden="false" customHeight="false" outlineLevel="0" collapsed="false">
      <c r="A977" s="29"/>
      <c r="B977" s="29"/>
      <c r="C977" s="31"/>
      <c r="D977" s="31"/>
      <c r="E977" s="35" t="str">
        <f aca="false">IF(OR(C977="",D977=""),"",MAX(1,D977-C977))</f>
        <v/>
      </c>
      <c r="F977" s="32"/>
      <c r="G977" s="36" t="str">
        <f aca="false">IF(B977="","",IFERROR(IF(N(INDEX(Fleet!$N$5:$N$79,MATCH(B977,Fleet!$A$5:$A$79,0)))&gt;0,INDEX(Fleet!$N$5:$N$79,MATCH(B977,Fleet!$A$5:$A$79,0)),Assumptions!$B$7),Assumptions!$B$7))</f>
        <v/>
      </c>
      <c r="H977" s="34" t="str">
        <f aca="false">IF(OR(F977="",G977=""),"",F977*G977)</f>
        <v/>
      </c>
      <c r="I977" s="32"/>
      <c r="J977" s="32"/>
      <c r="K977" s="37"/>
      <c r="L977" s="38" t="str">
        <f aca="false">IF(C977="","",DATE(YEAR(C977),MONTH(C977),1))</f>
        <v/>
      </c>
      <c r="M977" s="34" t="str">
        <f aca="false">IF(F977="","",N(H977)+N(I977)-N(J977))</f>
        <v/>
      </c>
      <c r="N977" s="29"/>
    </row>
    <row r="978" customFormat="false" ht="15" hidden="false" customHeight="false" outlineLevel="0" collapsed="false">
      <c r="A978" s="29"/>
      <c r="B978" s="29"/>
      <c r="C978" s="31"/>
      <c r="D978" s="31"/>
      <c r="E978" s="35" t="str">
        <f aca="false">IF(OR(C978="",D978=""),"",MAX(1,D978-C978))</f>
        <v/>
      </c>
      <c r="F978" s="32"/>
      <c r="G978" s="36" t="str">
        <f aca="false">IF(B978="","",IFERROR(IF(N(INDEX(Fleet!$N$5:$N$79,MATCH(B978,Fleet!$A$5:$A$79,0)))&gt;0,INDEX(Fleet!$N$5:$N$79,MATCH(B978,Fleet!$A$5:$A$79,0)),Assumptions!$B$7),Assumptions!$B$7))</f>
        <v/>
      </c>
      <c r="H978" s="34" t="str">
        <f aca="false">IF(OR(F978="",G978=""),"",F978*G978)</f>
        <v/>
      </c>
      <c r="I978" s="32"/>
      <c r="J978" s="32"/>
      <c r="K978" s="37"/>
      <c r="L978" s="38" t="str">
        <f aca="false">IF(C978="","",DATE(YEAR(C978),MONTH(C978),1))</f>
        <v/>
      </c>
      <c r="M978" s="34" t="str">
        <f aca="false">IF(F978="","",N(H978)+N(I978)-N(J978))</f>
        <v/>
      </c>
      <c r="N978" s="29"/>
    </row>
    <row r="979" customFormat="false" ht="15" hidden="false" customHeight="false" outlineLevel="0" collapsed="false">
      <c r="A979" s="29"/>
      <c r="B979" s="29"/>
      <c r="C979" s="31"/>
      <c r="D979" s="31"/>
      <c r="E979" s="35" t="str">
        <f aca="false">IF(OR(C979="",D979=""),"",MAX(1,D979-C979))</f>
        <v/>
      </c>
      <c r="F979" s="32"/>
      <c r="G979" s="36" t="str">
        <f aca="false">IF(B979="","",IFERROR(IF(N(INDEX(Fleet!$N$5:$N$79,MATCH(B979,Fleet!$A$5:$A$79,0)))&gt;0,INDEX(Fleet!$N$5:$N$79,MATCH(B979,Fleet!$A$5:$A$79,0)),Assumptions!$B$7),Assumptions!$B$7))</f>
        <v/>
      </c>
      <c r="H979" s="34" t="str">
        <f aca="false">IF(OR(F979="",G979=""),"",F979*G979)</f>
        <v/>
      </c>
      <c r="I979" s="32"/>
      <c r="J979" s="32"/>
      <c r="K979" s="37"/>
      <c r="L979" s="38" t="str">
        <f aca="false">IF(C979="","",DATE(YEAR(C979),MONTH(C979),1))</f>
        <v/>
      </c>
      <c r="M979" s="34" t="str">
        <f aca="false">IF(F979="","",N(H979)+N(I979)-N(J979))</f>
        <v/>
      </c>
      <c r="N979" s="29"/>
    </row>
    <row r="980" customFormat="false" ht="15" hidden="false" customHeight="false" outlineLevel="0" collapsed="false">
      <c r="A980" s="29"/>
      <c r="B980" s="29"/>
      <c r="C980" s="31"/>
      <c r="D980" s="31"/>
      <c r="E980" s="35" t="str">
        <f aca="false">IF(OR(C980="",D980=""),"",MAX(1,D980-C980))</f>
        <v/>
      </c>
      <c r="F980" s="32"/>
      <c r="G980" s="36" t="str">
        <f aca="false">IF(B980="","",IFERROR(IF(N(INDEX(Fleet!$N$5:$N$79,MATCH(B980,Fleet!$A$5:$A$79,0)))&gt;0,INDEX(Fleet!$N$5:$N$79,MATCH(B980,Fleet!$A$5:$A$79,0)),Assumptions!$B$7),Assumptions!$B$7))</f>
        <v/>
      </c>
      <c r="H980" s="34" t="str">
        <f aca="false">IF(OR(F980="",G980=""),"",F980*G980)</f>
        <v/>
      </c>
      <c r="I980" s="32"/>
      <c r="J980" s="32"/>
      <c r="K980" s="37"/>
      <c r="L980" s="38" t="str">
        <f aca="false">IF(C980="","",DATE(YEAR(C980),MONTH(C980),1))</f>
        <v/>
      </c>
      <c r="M980" s="34" t="str">
        <f aca="false">IF(F980="","",N(H980)+N(I980)-N(J980))</f>
        <v/>
      </c>
      <c r="N980" s="29"/>
    </row>
    <row r="981" customFormat="false" ht="15" hidden="false" customHeight="false" outlineLevel="0" collapsed="false">
      <c r="A981" s="29"/>
      <c r="B981" s="29"/>
      <c r="C981" s="31"/>
      <c r="D981" s="31"/>
      <c r="E981" s="35" t="str">
        <f aca="false">IF(OR(C981="",D981=""),"",MAX(1,D981-C981))</f>
        <v/>
      </c>
      <c r="F981" s="32"/>
      <c r="G981" s="36" t="str">
        <f aca="false">IF(B981="","",IFERROR(IF(N(INDEX(Fleet!$N$5:$N$79,MATCH(B981,Fleet!$A$5:$A$79,0)))&gt;0,INDEX(Fleet!$N$5:$N$79,MATCH(B981,Fleet!$A$5:$A$79,0)),Assumptions!$B$7),Assumptions!$B$7))</f>
        <v/>
      </c>
      <c r="H981" s="34" t="str">
        <f aca="false">IF(OR(F981="",G981=""),"",F981*G981)</f>
        <v/>
      </c>
      <c r="I981" s="32"/>
      <c r="J981" s="32"/>
      <c r="K981" s="37"/>
      <c r="L981" s="38" t="str">
        <f aca="false">IF(C981="","",DATE(YEAR(C981),MONTH(C981),1))</f>
        <v/>
      </c>
      <c r="M981" s="34" t="str">
        <f aca="false">IF(F981="","",N(H981)+N(I981)-N(J981))</f>
        <v/>
      </c>
      <c r="N981" s="29"/>
    </row>
    <row r="982" customFormat="false" ht="15" hidden="false" customHeight="false" outlineLevel="0" collapsed="false">
      <c r="A982" s="29"/>
      <c r="B982" s="29"/>
      <c r="C982" s="31"/>
      <c r="D982" s="31"/>
      <c r="E982" s="35" t="str">
        <f aca="false">IF(OR(C982="",D982=""),"",MAX(1,D982-C982))</f>
        <v/>
      </c>
      <c r="F982" s="32"/>
      <c r="G982" s="36" t="str">
        <f aca="false">IF(B982="","",IFERROR(IF(N(INDEX(Fleet!$N$5:$N$79,MATCH(B982,Fleet!$A$5:$A$79,0)))&gt;0,INDEX(Fleet!$N$5:$N$79,MATCH(B982,Fleet!$A$5:$A$79,0)),Assumptions!$B$7),Assumptions!$B$7))</f>
        <v/>
      </c>
      <c r="H982" s="34" t="str">
        <f aca="false">IF(OR(F982="",G982=""),"",F982*G982)</f>
        <v/>
      </c>
      <c r="I982" s="32"/>
      <c r="J982" s="32"/>
      <c r="K982" s="37"/>
      <c r="L982" s="38" t="str">
        <f aca="false">IF(C982="","",DATE(YEAR(C982),MONTH(C982),1))</f>
        <v/>
      </c>
      <c r="M982" s="34" t="str">
        <f aca="false">IF(F982="","",N(H982)+N(I982)-N(J982))</f>
        <v/>
      </c>
      <c r="N982" s="29"/>
    </row>
    <row r="983" customFormat="false" ht="15" hidden="false" customHeight="false" outlineLevel="0" collapsed="false">
      <c r="A983" s="29"/>
      <c r="B983" s="29"/>
      <c r="C983" s="31"/>
      <c r="D983" s="31"/>
      <c r="E983" s="35" t="str">
        <f aca="false">IF(OR(C983="",D983=""),"",MAX(1,D983-C983))</f>
        <v/>
      </c>
      <c r="F983" s="32"/>
      <c r="G983" s="36" t="str">
        <f aca="false">IF(B983="","",IFERROR(IF(N(INDEX(Fleet!$N$5:$N$79,MATCH(B983,Fleet!$A$5:$A$79,0)))&gt;0,INDEX(Fleet!$N$5:$N$79,MATCH(B983,Fleet!$A$5:$A$79,0)),Assumptions!$B$7),Assumptions!$B$7))</f>
        <v/>
      </c>
      <c r="H983" s="34" t="str">
        <f aca="false">IF(OR(F983="",G983=""),"",F983*G983)</f>
        <v/>
      </c>
      <c r="I983" s="32"/>
      <c r="J983" s="32"/>
      <c r="K983" s="37"/>
      <c r="L983" s="38" t="str">
        <f aca="false">IF(C983="","",DATE(YEAR(C983),MONTH(C983),1))</f>
        <v/>
      </c>
      <c r="M983" s="34" t="str">
        <f aca="false">IF(F983="","",N(H983)+N(I983)-N(J983))</f>
        <v/>
      </c>
      <c r="N983" s="29"/>
    </row>
    <row r="984" customFormat="false" ht="15" hidden="false" customHeight="false" outlineLevel="0" collapsed="false">
      <c r="A984" s="29"/>
      <c r="B984" s="29"/>
      <c r="C984" s="31"/>
      <c r="D984" s="31"/>
      <c r="E984" s="35" t="str">
        <f aca="false">IF(OR(C984="",D984=""),"",MAX(1,D984-C984))</f>
        <v/>
      </c>
      <c r="F984" s="32"/>
      <c r="G984" s="36" t="str">
        <f aca="false">IF(B984="","",IFERROR(IF(N(INDEX(Fleet!$N$5:$N$79,MATCH(B984,Fleet!$A$5:$A$79,0)))&gt;0,INDEX(Fleet!$N$5:$N$79,MATCH(B984,Fleet!$A$5:$A$79,0)),Assumptions!$B$7),Assumptions!$B$7))</f>
        <v/>
      </c>
      <c r="H984" s="34" t="str">
        <f aca="false">IF(OR(F984="",G984=""),"",F984*G984)</f>
        <v/>
      </c>
      <c r="I984" s="32"/>
      <c r="J984" s="32"/>
      <c r="K984" s="37"/>
      <c r="L984" s="38" t="str">
        <f aca="false">IF(C984="","",DATE(YEAR(C984),MONTH(C984),1))</f>
        <v/>
      </c>
      <c r="M984" s="34" t="str">
        <f aca="false">IF(F984="","",N(H984)+N(I984)-N(J984))</f>
        <v/>
      </c>
      <c r="N984" s="29"/>
    </row>
    <row r="985" customFormat="false" ht="15" hidden="false" customHeight="false" outlineLevel="0" collapsed="false">
      <c r="A985" s="29"/>
      <c r="B985" s="29"/>
      <c r="C985" s="31"/>
      <c r="D985" s="31"/>
      <c r="E985" s="35" t="str">
        <f aca="false">IF(OR(C985="",D985=""),"",MAX(1,D985-C985))</f>
        <v/>
      </c>
      <c r="F985" s="32"/>
      <c r="G985" s="36" t="str">
        <f aca="false">IF(B985="","",IFERROR(IF(N(INDEX(Fleet!$N$5:$N$79,MATCH(B985,Fleet!$A$5:$A$79,0)))&gt;0,INDEX(Fleet!$N$5:$N$79,MATCH(B985,Fleet!$A$5:$A$79,0)),Assumptions!$B$7),Assumptions!$B$7))</f>
        <v/>
      </c>
      <c r="H985" s="34" t="str">
        <f aca="false">IF(OR(F985="",G985=""),"",F985*G985)</f>
        <v/>
      </c>
      <c r="I985" s="32"/>
      <c r="J985" s="32"/>
      <c r="K985" s="37"/>
      <c r="L985" s="38" t="str">
        <f aca="false">IF(C985="","",DATE(YEAR(C985),MONTH(C985),1))</f>
        <v/>
      </c>
      <c r="M985" s="34" t="str">
        <f aca="false">IF(F985="","",N(H985)+N(I985)-N(J985))</f>
        <v/>
      </c>
      <c r="N985" s="29"/>
    </row>
    <row r="986" customFormat="false" ht="15" hidden="false" customHeight="false" outlineLevel="0" collapsed="false">
      <c r="A986" s="29"/>
      <c r="B986" s="29"/>
      <c r="C986" s="31"/>
      <c r="D986" s="31"/>
      <c r="E986" s="35" t="str">
        <f aca="false">IF(OR(C986="",D986=""),"",MAX(1,D986-C986))</f>
        <v/>
      </c>
      <c r="F986" s="32"/>
      <c r="G986" s="36" t="str">
        <f aca="false">IF(B986="","",IFERROR(IF(N(INDEX(Fleet!$N$5:$N$79,MATCH(B986,Fleet!$A$5:$A$79,0)))&gt;0,INDEX(Fleet!$N$5:$N$79,MATCH(B986,Fleet!$A$5:$A$79,0)),Assumptions!$B$7),Assumptions!$B$7))</f>
        <v/>
      </c>
      <c r="H986" s="34" t="str">
        <f aca="false">IF(OR(F986="",G986=""),"",F986*G986)</f>
        <v/>
      </c>
      <c r="I986" s="32"/>
      <c r="J986" s="32"/>
      <c r="K986" s="37"/>
      <c r="L986" s="38" t="str">
        <f aca="false">IF(C986="","",DATE(YEAR(C986),MONTH(C986),1))</f>
        <v/>
      </c>
      <c r="M986" s="34" t="str">
        <f aca="false">IF(F986="","",N(H986)+N(I986)-N(J986))</f>
        <v/>
      </c>
      <c r="N986" s="29"/>
    </row>
    <row r="987" customFormat="false" ht="15" hidden="false" customHeight="false" outlineLevel="0" collapsed="false">
      <c r="A987" s="29"/>
      <c r="B987" s="29"/>
      <c r="C987" s="31"/>
      <c r="D987" s="31"/>
      <c r="E987" s="35" t="str">
        <f aca="false">IF(OR(C987="",D987=""),"",MAX(1,D987-C987))</f>
        <v/>
      </c>
      <c r="F987" s="32"/>
      <c r="G987" s="36" t="str">
        <f aca="false">IF(B987="","",IFERROR(IF(N(INDEX(Fleet!$N$5:$N$79,MATCH(B987,Fleet!$A$5:$A$79,0)))&gt;0,INDEX(Fleet!$N$5:$N$79,MATCH(B987,Fleet!$A$5:$A$79,0)),Assumptions!$B$7),Assumptions!$B$7))</f>
        <v/>
      </c>
      <c r="H987" s="34" t="str">
        <f aca="false">IF(OR(F987="",G987=""),"",F987*G987)</f>
        <v/>
      </c>
      <c r="I987" s="32"/>
      <c r="J987" s="32"/>
      <c r="K987" s="37"/>
      <c r="L987" s="38" t="str">
        <f aca="false">IF(C987="","",DATE(YEAR(C987),MONTH(C987),1))</f>
        <v/>
      </c>
      <c r="M987" s="34" t="str">
        <f aca="false">IF(F987="","",N(H987)+N(I987)-N(J987))</f>
        <v/>
      </c>
      <c r="N987" s="29"/>
    </row>
    <row r="988" customFormat="false" ht="15" hidden="false" customHeight="false" outlineLevel="0" collapsed="false">
      <c r="A988" s="29"/>
      <c r="B988" s="29"/>
      <c r="C988" s="31"/>
      <c r="D988" s="31"/>
      <c r="E988" s="35" t="str">
        <f aca="false">IF(OR(C988="",D988=""),"",MAX(1,D988-C988))</f>
        <v/>
      </c>
      <c r="F988" s="32"/>
      <c r="G988" s="36" t="str">
        <f aca="false">IF(B988="","",IFERROR(IF(N(INDEX(Fleet!$N$5:$N$79,MATCH(B988,Fleet!$A$5:$A$79,0)))&gt;0,INDEX(Fleet!$N$5:$N$79,MATCH(B988,Fleet!$A$5:$A$79,0)),Assumptions!$B$7),Assumptions!$B$7))</f>
        <v/>
      </c>
      <c r="H988" s="34" t="str">
        <f aca="false">IF(OR(F988="",G988=""),"",F988*G988)</f>
        <v/>
      </c>
      <c r="I988" s="32"/>
      <c r="J988" s="32"/>
      <c r="K988" s="37"/>
      <c r="L988" s="38" t="str">
        <f aca="false">IF(C988="","",DATE(YEAR(C988),MONTH(C988),1))</f>
        <v/>
      </c>
      <c r="M988" s="34" t="str">
        <f aca="false">IF(F988="","",N(H988)+N(I988)-N(J988))</f>
        <v/>
      </c>
      <c r="N988" s="29"/>
    </row>
    <row r="989" customFormat="false" ht="15" hidden="false" customHeight="false" outlineLevel="0" collapsed="false">
      <c r="A989" s="29"/>
      <c r="B989" s="29"/>
      <c r="C989" s="31"/>
      <c r="D989" s="31"/>
      <c r="E989" s="35" t="str">
        <f aca="false">IF(OR(C989="",D989=""),"",MAX(1,D989-C989))</f>
        <v/>
      </c>
      <c r="F989" s="32"/>
      <c r="G989" s="36" t="str">
        <f aca="false">IF(B989="","",IFERROR(IF(N(INDEX(Fleet!$N$5:$N$79,MATCH(B989,Fleet!$A$5:$A$79,0)))&gt;0,INDEX(Fleet!$N$5:$N$79,MATCH(B989,Fleet!$A$5:$A$79,0)),Assumptions!$B$7),Assumptions!$B$7))</f>
        <v/>
      </c>
      <c r="H989" s="34" t="str">
        <f aca="false">IF(OR(F989="",G989=""),"",F989*G989)</f>
        <v/>
      </c>
      <c r="I989" s="32"/>
      <c r="J989" s="32"/>
      <c r="K989" s="37"/>
      <c r="L989" s="38" t="str">
        <f aca="false">IF(C989="","",DATE(YEAR(C989),MONTH(C989),1))</f>
        <v/>
      </c>
      <c r="M989" s="34" t="str">
        <f aca="false">IF(F989="","",N(H989)+N(I989)-N(J989))</f>
        <v/>
      </c>
      <c r="N989" s="29"/>
    </row>
    <row r="990" customFormat="false" ht="15" hidden="false" customHeight="false" outlineLevel="0" collapsed="false">
      <c r="A990" s="29"/>
      <c r="B990" s="29"/>
      <c r="C990" s="31"/>
      <c r="D990" s="31"/>
      <c r="E990" s="35" t="str">
        <f aca="false">IF(OR(C990="",D990=""),"",MAX(1,D990-C990))</f>
        <v/>
      </c>
      <c r="F990" s="32"/>
      <c r="G990" s="36" t="str">
        <f aca="false">IF(B990="","",IFERROR(IF(N(INDEX(Fleet!$N$5:$N$79,MATCH(B990,Fleet!$A$5:$A$79,0)))&gt;0,INDEX(Fleet!$N$5:$N$79,MATCH(B990,Fleet!$A$5:$A$79,0)),Assumptions!$B$7),Assumptions!$B$7))</f>
        <v/>
      </c>
      <c r="H990" s="34" t="str">
        <f aca="false">IF(OR(F990="",G990=""),"",F990*G990)</f>
        <v/>
      </c>
      <c r="I990" s="32"/>
      <c r="J990" s="32"/>
      <c r="K990" s="37"/>
      <c r="L990" s="38" t="str">
        <f aca="false">IF(C990="","",DATE(YEAR(C990),MONTH(C990),1))</f>
        <v/>
      </c>
      <c r="M990" s="34" t="str">
        <f aca="false">IF(F990="","",N(H990)+N(I990)-N(J990))</f>
        <v/>
      </c>
      <c r="N990" s="29"/>
    </row>
    <row r="991" customFormat="false" ht="15" hidden="false" customHeight="false" outlineLevel="0" collapsed="false">
      <c r="A991" s="29"/>
      <c r="B991" s="29"/>
      <c r="C991" s="31"/>
      <c r="D991" s="31"/>
      <c r="E991" s="35" t="str">
        <f aca="false">IF(OR(C991="",D991=""),"",MAX(1,D991-C991))</f>
        <v/>
      </c>
      <c r="F991" s="32"/>
      <c r="G991" s="36" t="str">
        <f aca="false">IF(B991="","",IFERROR(IF(N(INDEX(Fleet!$N$5:$N$79,MATCH(B991,Fleet!$A$5:$A$79,0)))&gt;0,INDEX(Fleet!$N$5:$N$79,MATCH(B991,Fleet!$A$5:$A$79,0)),Assumptions!$B$7),Assumptions!$B$7))</f>
        <v/>
      </c>
      <c r="H991" s="34" t="str">
        <f aca="false">IF(OR(F991="",G991=""),"",F991*G991)</f>
        <v/>
      </c>
      <c r="I991" s="32"/>
      <c r="J991" s="32"/>
      <c r="K991" s="37"/>
      <c r="L991" s="38" t="str">
        <f aca="false">IF(C991="","",DATE(YEAR(C991),MONTH(C991),1))</f>
        <v/>
      </c>
      <c r="M991" s="34" t="str">
        <f aca="false">IF(F991="","",N(H991)+N(I991)-N(J991))</f>
        <v/>
      </c>
      <c r="N991" s="29"/>
    </row>
    <row r="992" customFormat="false" ht="15" hidden="false" customHeight="false" outlineLevel="0" collapsed="false">
      <c r="A992" s="29"/>
      <c r="B992" s="29"/>
      <c r="C992" s="31"/>
      <c r="D992" s="31"/>
      <c r="E992" s="35" t="str">
        <f aca="false">IF(OR(C992="",D992=""),"",MAX(1,D992-C992))</f>
        <v/>
      </c>
      <c r="F992" s="32"/>
      <c r="G992" s="36" t="str">
        <f aca="false">IF(B992="","",IFERROR(IF(N(INDEX(Fleet!$N$5:$N$79,MATCH(B992,Fleet!$A$5:$A$79,0)))&gt;0,INDEX(Fleet!$N$5:$N$79,MATCH(B992,Fleet!$A$5:$A$79,0)),Assumptions!$B$7),Assumptions!$B$7))</f>
        <v/>
      </c>
      <c r="H992" s="34" t="str">
        <f aca="false">IF(OR(F992="",G992=""),"",F992*G992)</f>
        <v/>
      </c>
      <c r="I992" s="32"/>
      <c r="J992" s="32"/>
      <c r="K992" s="37"/>
      <c r="L992" s="38" t="str">
        <f aca="false">IF(C992="","",DATE(YEAR(C992),MONTH(C992),1))</f>
        <v/>
      </c>
      <c r="M992" s="34" t="str">
        <f aca="false">IF(F992="","",N(H992)+N(I992)-N(J992))</f>
        <v/>
      </c>
      <c r="N992" s="29"/>
    </row>
    <row r="993" customFormat="false" ht="15" hidden="false" customHeight="false" outlineLevel="0" collapsed="false">
      <c r="A993" s="29"/>
      <c r="B993" s="29"/>
      <c r="C993" s="31"/>
      <c r="D993" s="31"/>
      <c r="E993" s="35" t="str">
        <f aca="false">IF(OR(C993="",D993=""),"",MAX(1,D993-C993))</f>
        <v/>
      </c>
      <c r="F993" s="32"/>
      <c r="G993" s="36" t="str">
        <f aca="false">IF(B993="","",IFERROR(IF(N(INDEX(Fleet!$N$5:$N$79,MATCH(B993,Fleet!$A$5:$A$79,0)))&gt;0,INDEX(Fleet!$N$5:$N$79,MATCH(B993,Fleet!$A$5:$A$79,0)),Assumptions!$B$7),Assumptions!$B$7))</f>
        <v/>
      </c>
      <c r="H993" s="34" t="str">
        <f aca="false">IF(OR(F993="",G993=""),"",F993*G993)</f>
        <v/>
      </c>
      <c r="I993" s="32"/>
      <c r="J993" s="32"/>
      <c r="K993" s="37"/>
      <c r="L993" s="38" t="str">
        <f aca="false">IF(C993="","",DATE(YEAR(C993),MONTH(C993),1))</f>
        <v/>
      </c>
      <c r="M993" s="34" t="str">
        <f aca="false">IF(F993="","",N(H993)+N(I993)-N(J993))</f>
        <v/>
      </c>
      <c r="N993" s="29"/>
    </row>
    <row r="994" customFormat="false" ht="15" hidden="false" customHeight="false" outlineLevel="0" collapsed="false">
      <c r="A994" s="29"/>
      <c r="B994" s="29"/>
      <c r="C994" s="31"/>
      <c r="D994" s="31"/>
      <c r="E994" s="35" t="str">
        <f aca="false">IF(OR(C994="",D994=""),"",MAX(1,D994-C994))</f>
        <v/>
      </c>
      <c r="F994" s="32"/>
      <c r="G994" s="36" t="str">
        <f aca="false">IF(B994="","",IFERROR(IF(N(INDEX(Fleet!$N$5:$N$79,MATCH(B994,Fleet!$A$5:$A$79,0)))&gt;0,INDEX(Fleet!$N$5:$N$79,MATCH(B994,Fleet!$A$5:$A$79,0)),Assumptions!$B$7),Assumptions!$B$7))</f>
        <v/>
      </c>
      <c r="H994" s="34" t="str">
        <f aca="false">IF(OR(F994="",G994=""),"",F994*G994)</f>
        <v/>
      </c>
      <c r="I994" s="32"/>
      <c r="J994" s="32"/>
      <c r="K994" s="37"/>
      <c r="L994" s="38" t="str">
        <f aca="false">IF(C994="","",DATE(YEAR(C994),MONTH(C994),1))</f>
        <v/>
      </c>
      <c r="M994" s="34" t="str">
        <f aca="false">IF(F994="","",N(H994)+N(I994)-N(J994))</f>
        <v/>
      </c>
      <c r="N994" s="29"/>
    </row>
    <row r="995" customFormat="false" ht="15" hidden="false" customHeight="false" outlineLevel="0" collapsed="false">
      <c r="A995" s="29"/>
      <c r="B995" s="29"/>
      <c r="C995" s="31"/>
      <c r="D995" s="31"/>
      <c r="E995" s="35" t="str">
        <f aca="false">IF(OR(C995="",D995=""),"",MAX(1,D995-C995))</f>
        <v/>
      </c>
      <c r="F995" s="32"/>
      <c r="G995" s="36" t="str">
        <f aca="false">IF(B995="","",IFERROR(IF(N(INDEX(Fleet!$N$5:$N$79,MATCH(B995,Fleet!$A$5:$A$79,0)))&gt;0,INDEX(Fleet!$N$5:$N$79,MATCH(B995,Fleet!$A$5:$A$79,0)),Assumptions!$B$7),Assumptions!$B$7))</f>
        <v/>
      </c>
      <c r="H995" s="34" t="str">
        <f aca="false">IF(OR(F995="",G995=""),"",F995*G995)</f>
        <v/>
      </c>
      <c r="I995" s="32"/>
      <c r="J995" s="32"/>
      <c r="K995" s="37"/>
      <c r="L995" s="38" t="str">
        <f aca="false">IF(C995="","",DATE(YEAR(C995),MONTH(C995),1))</f>
        <v/>
      </c>
      <c r="M995" s="34" t="str">
        <f aca="false">IF(F995="","",N(H995)+N(I995)-N(J995))</f>
        <v/>
      </c>
      <c r="N995" s="29"/>
    </row>
    <row r="996" customFormat="false" ht="15" hidden="false" customHeight="false" outlineLevel="0" collapsed="false">
      <c r="A996" s="29"/>
      <c r="B996" s="29"/>
      <c r="C996" s="31"/>
      <c r="D996" s="31"/>
      <c r="E996" s="35" t="str">
        <f aca="false">IF(OR(C996="",D996=""),"",MAX(1,D996-C996))</f>
        <v/>
      </c>
      <c r="F996" s="32"/>
      <c r="G996" s="36" t="str">
        <f aca="false">IF(B996="","",IFERROR(IF(N(INDEX(Fleet!$N$5:$N$79,MATCH(B996,Fleet!$A$5:$A$79,0)))&gt;0,INDEX(Fleet!$N$5:$N$79,MATCH(B996,Fleet!$A$5:$A$79,0)),Assumptions!$B$7),Assumptions!$B$7))</f>
        <v/>
      </c>
      <c r="H996" s="34" t="str">
        <f aca="false">IF(OR(F996="",G996=""),"",F996*G996)</f>
        <v/>
      </c>
      <c r="I996" s="32"/>
      <c r="J996" s="32"/>
      <c r="K996" s="37"/>
      <c r="L996" s="38" t="str">
        <f aca="false">IF(C996="","",DATE(YEAR(C996),MONTH(C996),1))</f>
        <v/>
      </c>
      <c r="M996" s="34" t="str">
        <f aca="false">IF(F996="","",N(H996)+N(I996)-N(J996))</f>
        <v/>
      </c>
      <c r="N996" s="29"/>
    </row>
    <row r="997" customFormat="false" ht="15" hidden="false" customHeight="false" outlineLevel="0" collapsed="false">
      <c r="A997" s="29"/>
      <c r="B997" s="29"/>
      <c r="C997" s="31"/>
      <c r="D997" s="31"/>
      <c r="E997" s="35" t="str">
        <f aca="false">IF(OR(C997="",D997=""),"",MAX(1,D997-C997))</f>
        <v/>
      </c>
      <c r="F997" s="32"/>
      <c r="G997" s="36" t="str">
        <f aca="false">IF(B997="","",IFERROR(IF(N(INDEX(Fleet!$N$5:$N$79,MATCH(B997,Fleet!$A$5:$A$79,0)))&gt;0,INDEX(Fleet!$N$5:$N$79,MATCH(B997,Fleet!$A$5:$A$79,0)),Assumptions!$B$7),Assumptions!$B$7))</f>
        <v/>
      </c>
      <c r="H997" s="34" t="str">
        <f aca="false">IF(OR(F997="",G997=""),"",F997*G997)</f>
        <v/>
      </c>
      <c r="I997" s="32"/>
      <c r="J997" s="32"/>
      <c r="K997" s="37"/>
      <c r="L997" s="38" t="str">
        <f aca="false">IF(C997="","",DATE(YEAR(C997),MONTH(C997),1))</f>
        <v/>
      </c>
      <c r="M997" s="34" t="str">
        <f aca="false">IF(F997="","",N(H997)+N(I997)-N(J997))</f>
        <v/>
      </c>
      <c r="N997" s="29"/>
    </row>
    <row r="998" customFormat="false" ht="15" hidden="false" customHeight="false" outlineLevel="0" collapsed="false">
      <c r="A998" s="29"/>
      <c r="B998" s="29"/>
      <c r="C998" s="31"/>
      <c r="D998" s="31"/>
      <c r="E998" s="35" t="str">
        <f aca="false">IF(OR(C998="",D998=""),"",MAX(1,D998-C998))</f>
        <v/>
      </c>
      <c r="F998" s="32"/>
      <c r="G998" s="36" t="str">
        <f aca="false">IF(B998="","",IFERROR(IF(N(INDEX(Fleet!$N$5:$N$79,MATCH(B998,Fleet!$A$5:$A$79,0)))&gt;0,INDEX(Fleet!$N$5:$N$79,MATCH(B998,Fleet!$A$5:$A$79,0)),Assumptions!$B$7),Assumptions!$B$7))</f>
        <v/>
      </c>
      <c r="H998" s="34" t="str">
        <f aca="false">IF(OR(F998="",G998=""),"",F998*G998)</f>
        <v/>
      </c>
      <c r="I998" s="32"/>
      <c r="J998" s="32"/>
      <c r="K998" s="37"/>
      <c r="L998" s="38" t="str">
        <f aca="false">IF(C998="","",DATE(YEAR(C998),MONTH(C998),1))</f>
        <v/>
      </c>
      <c r="M998" s="34" t="str">
        <f aca="false">IF(F998="","",N(H998)+N(I998)-N(J998))</f>
        <v/>
      </c>
      <c r="N998" s="29"/>
    </row>
    <row r="999" customFormat="false" ht="15" hidden="false" customHeight="false" outlineLevel="0" collapsed="false">
      <c r="A999" s="29"/>
      <c r="B999" s="29"/>
      <c r="C999" s="31"/>
      <c r="D999" s="31"/>
      <c r="E999" s="35" t="str">
        <f aca="false">IF(OR(C999="",D999=""),"",MAX(1,D999-C999))</f>
        <v/>
      </c>
      <c r="F999" s="32"/>
      <c r="G999" s="36" t="str">
        <f aca="false">IF(B999="","",IFERROR(IF(N(INDEX(Fleet!$N$5:$N$79,MATCH(B999,Fleet!$A$5:$A$79,0)))&gt;0,INDEX(Fleet!$N$5:$N$79,MATCH(B999,Fleet!$A$5:$A$79,0)),Assumptions!$B$7),Assumptions!$B$7))</f>
        <v/>
      </c>
      <c r="H999" s="34" t="str">
        <f aca="false">IF(OR(F999="",G999=""),"",F999*G999)</f>
        <v/>
      </c>
      <c r="I999" s="32"/>
      <c r="J999" s="32"/>
      <c r="K999" s="37"/>
      <c r="L999" s="38" t="str">
        <f aca="false">IF(C999="","",DATE(YEAR(C999),MONTH(C999),1))</f>
        <v/>
      </c>
      <c r="M999" s="34" t="str">
        <f aca="false">IF(F999="","",N(H999)+N(I999)-N(J999))</f>
        <v/>
      </c>
      <c r="N999" s="29"/>
    </row>
    <row r="1000" customFormat="false" ht="15" hidden="false" customHeight="false" outlineLevel="0" collapsed="false">
      <c r="A1000" s="29"/>
      <c r="B1000" s="29"/>
      <c r="C1000" s="31"/>
      <c r="D1000" s="31"/>
      <c r="E1000" s="35" t="str">
        <f aca="false">IF(OR(C1000="",D1000=""),"",MAX(1,D1000-C1000))</f>
        <v/>
      </c>
      <c r="F1000" s="32"/>
      <c r="G1000" s="36" t="str">
        <f aca="false">IF(B1000="","",IFERROR(IF(N(INDEX(Fleet!$N$5:$N$79,MATCH(B1000,Fleet!$A$5:$A$79,0)))&gt;0,INDEX(Fleet!$N$5:$N$79,MATCH(B1000,Fleet!$A$5:$A$79,0)),Assumptions!$B$7),Assumptions!$B$7))</f>
        <v/>
      </c>
      <c r="H1000" s="34" t="str">
        <f aca="false">IF(OR(F1000="",G1000=""),"",F1000*G1000)</f>
        <v/>
      </c>
      <c r="I1000" s="32"/>
      <c r="J1000" s="32"/>
      <c r="K1000" s="37"/>
      <c r="L1000" s="38" t="str">
        <f aca="false">IF(C1000="","",DATE(YEAR(C1000),MONTH(C1000),1))</f>
        <v/>
      </c>
      <c r="M1000" s="34" t="str">
        <f aca="false">IF(F1000="","",N(H1000)+N(I1000)-N(J1000))</f>
        <v/>
      </c>
      <c r="N1000" s="29"/>
    </row>
    <row r="1001" customFormat="false" ht="15" hidden="false" customHeight="false" outlineLevel="0" collapsed="false">
      <c r="A1001" s="29"/>
      <c r="B1001" s="29"/>
      <c r="C1001" s="31"/>
      <c r="D1001" s="31"/>
      <c r="E1001" s="35" t="str">
        <f aca="false">IF(OR(C1001="",D1001=""),"",MAX(1,D1001-C1001))</f>
        <v/>
      </c>
      <c r="F1001" s="32"/>
      <c r="G1001" s="36" t="str">
        <f aca="false">IF(B1001="","",IFERROR(IF(N(INDEX(Fleet!$N$5:$N$79,MATCH(B1001,Fleet!$A$5:$A$79,0)))&gt;0,INDEX(Fleet!$N$5:$N$79,MATCH(B1001,Fleet!$A$5:$A$79,0)),Assumptions!$B$7),Assumptions!$B$7))</f>
        <v/>
      </c>
      <c r="H1001" s="34" t="str">
        <f aca="false">IF(OR(F1001="",G1001=""),"",F1001*G1001)</f>
        <v/>
      </c>
      <c r="I1001" s="32"/>
      <c r="J1001" s="32"/>
      <c r="K1001" s="37"/>
      <c r="L1001" s="38" t="str">
        <f aca="false">IF(C1001="","",DATE(YEAR(C1001),MONTH(C1001),1))</f>
        <v/>
      </c>
      <c r="M1001" s="34" t="str">
        <f aca="false">IF(F1001="","",N(H1001)+N(I1001)-N(J1001))</f>
        <v/>
      </c>
      <c r="N1001" s="29"/>
    </row>
    <row r="1002" customFormat="false" ht="15" hidden="false" customHeight="false" outlineLevel="0" collapsed="false">
      <c r="A1002" s="29"/>
      <c r="B1002" s="29"/>
      <c r="C1002" s="31"/>
      <c r="D1002" s="31"/>
      <c r="E1002" s="35" t="str">
        <f aca="false">IF(OR(C1002="",D1002=""),"",MAX(1,D1002-C1002))</f>
        <v/>
      </c>
      <c r="F1002" s="32"/>
      <c r="G1002" s="36" t="str">
        <f aca="false">IF(B1002="","",IFERROR(IF(N(INDEX(Fleet!$N$5:$N$79,MATCH(B1002,Fleet!$A$5:$A$79,0)))&gt;0,INDEX(Fleet!$N$5:$N$79,MATCH(B1002,Fleet!$A$5:$A$79,0)),Assumptions!$B$7),Assumptions!$B$7))</f>
        <v/>
      </c>
      <c r="H1002" s="34" t="str">
        <f aca="false">IF(OR(F1002="",G1002=""),"",F1002*G1002)</f>
        <v/>
      </c>
      <c r="I1002" s="32"/>
      <c r="J1002" s="32"/>
      <c r="K1002" s="37"/>
      <c r="L1002" s="38" t="str">
        <f aca="false">IF(C1002="","",DATE(YEAR(C1002),MONTH(C1002),1))</f>
        <v/>
      </c>
      <c r="M1002" s="34" t="str">
        <f aca="false">IF(F1002="","",N(H1002)+N(I1002)-N(J1002))</f>
        <v/>
      </c>
      <c r="N1002" s="29"/>
    </row>
    <row r="1003" customFormat="false" ht="15" hidden="false" customHeight="false" outlineLevel="0" collapsed="false">
      <c r="A1003" s="29"/>
      <c r="B1003" s="29"/>
      <c r="C1003" s="31"/>
      <c r="D1003" s="31"/>
      <c r="E1003" s="35" t="str">
        <f aca="false">IF(OR(C1003="",D1003=""),"",MAX(1,D1003-C1003))</f>
        <v/>
      </c>
      <c r="F1003" s="32"/>
      <c r="G1003" s="36" t="str">
        <f aca="false">IF(B1003="","",IFERROR(IF(N(INDEX(Fleet!$N$5:$N$79,MATCH(B1003,Fleet!$A$5:$A$79,0)))&gt;0,INDEX(Fleet!$N$5:$N$79,MATCH(B1003,Fleet!$A$5:$A$79,0)),Assumptions!$B$7),Assumptions!$B$7))</f>
        <v/>
      </c>
      <c r="H1003" s="34" t="str">
        <f aca="false">IF(OR(F1003="",G1003=""),"",F1003*G1003)</f>
        <v/>
      </c>
      <c r="I1003" s="32"/>
      <c r="J1003" s="32"/>
      <c r="K1003" s="37"/>
      <c r="L1003" s="38" t="str">
        <f aca="false">IF(C1003="","",DATE(YEAR(C1003),MONTH(C1003),1))</f>
        <v/>
      </c>
      <c r="M1003" s="34" t="str">
        <f aca="false">IF(F1003="","",N(H1003)+N(I1003)-N(J1003))</f>
        <v/>
      </c>
      <c r="N1003" s="29"/>
    </row>
    <row r="1004" customFormat="false" ht="15" hidden="false" customHeight="false" outlineLevel="0" collapsed="false">
      <c r="A1004" s="29"/>
      <c r="B1004" s="29"/>
      <c r="C1004" s="31"/>
      <c r="D1004" s="31"/>
      <c r="E1004" s="35" t="str">
        <f aca="false">IF(OR(C1004="",D1004=""),"",MAX(1,D1004-C1004))</f>
        <v/>
      </c>
      <c r="F1004" s="32"/>
      <c r="G1004" s="36" t="str">
        <f aca="false">IF(B1004="","",IFERROR(IF(N(INDEX(Fleet!$N$5:$N$79,MATCH(B1004,Fleet!$A$5:$A$79,0)))&gt;0,INDEX(Fleet!$N$5:$N$79,MATCH(B1004,Fleet!$A$5:$A$79,0)),Assumptions!$B$7),Assumptions!$B$7))</f>
        <v/>
      </c>
      <c r="H1004" s="34" t="str">
        <f aca="false">IF(OR(F1004="",G1004=""),"",F1004*G1004)</f>
        <v/>
      </c>
      <c r="I1004" s="32"/>
      <c r="J1004" s="32"/>
      <c r="K1004" s="37"/>
      <c r="L1004" s="38" t="str">
        <f aca="false">IF(C1004="","",DATE(YEAR(C1004),MONTH(C1004),1))</f>
        <v/>
      </c>
      <c r="M1004" s="34" t="str">
        <f aca="false">IF(F1004="","",N(H1004)+N(I1004)-N(J1004))</f>
        <v/>
      </c>
      <c r="N1004" s="29"/>
    </row>
  </sheetData>
  <dataValidations count="2">
    <dataValidation allowBlank="true" errorStyle="stop" operator="between" showDropDown="false" showErrorMessage="false" showInputMessage="false" sqref="B5:B1004" type="list">
      <formula1>Fleet!$A$5:$A$79</formula1>
      <formula2>0</formula2>
    </dataValidation>
    <dataValidation allowBlank="true" errorStyle="stop" operator="between" showDropDown="false" showErrorMessage="false" showInputMessage="false" sqref="K5:K1004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131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132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13" t="s">
        <v>133</v>
      </c>
      <c r="B4" s="13" t="s">
        <v>134</v>
      </c>
      <c r="C4" s="13" t="s">
        <v>135</v>
      </c>
      <c r="D4" s="13" t="s">
        <v>136</v>
      </c>
      <c r="E4" s="13" t="s">
        <v>137</v>
      </c>
      <c r="F4" s="13" t="s">
        <v>108</v>
      </c>
      <c r="G4" s="13" t="s">
        <v>43</v>
      </c>
    </row>
    <row r="5" customFormat="false" ht="15" hidden="false" customHeight="false" outlineLevel="0" collapsed="false">
      <c r="A5" s="31" t="n">
        <v>46328</v>
      </c>
      <c r="B5" s="29" t="s">
        <v>79</v>
      </c>
      <c r="C5" s="29" t="s">
        <v>82</v>
      </c>
      <c r="D5" s="29" t="s">
        <v>138</v>
      </c>
      <c r="E5" s="39" t="n">
        <v>64</v>
      </c>
      <c r="F5" s="29" t="s">
        <v>112</v>
      </c>
      <c r="G5" s="38" t="n">
        <f aca="false">IF(A5="","",DATE(YEAR(A5),MONTH(A5),1))</f>
        <v>46327</v>
      </c>
    </row>
    <row r="6" customFormat="false" ht="15" hidden="false" customHeight="false" outlineLevel="0" collapsed="false">
      <c r="A6" s="31" t="n">
        <v>46343</v>
      </c>
      <c r="B6" s="29" t="s">
        <v>109</v>
      </c>
      <c r="C6" s="29" t="s">
        <v>78</v>
      </c>
      <c r="D6" s="29" t="s">
        <v>139</v>
      </c>
      <c r="E6" s="39" t="n">
        <v>79</v>
      </c>
      <c r="F6" s="29" t="s">
        <v>112</v>
      </c>
      <c r="G6" s="38" t="n">
        <f aca="false">IF(A6="","",DATE(YEAR(A6),MONTH(A6),1))</f>
        <v>46327</v>
      </c>
    </row>
    <row r="7" customFormat="false" ht="15" hidden="false" customHeight="false" outlineLevel="0" collapsed="false">
      <c r="A7" s="31" t="n">
        <v>46351</v>
      </c>
      <c r="B7" s="29" t="s">
        <v>79</v>
      </c>
      <c r="C7" s="29" t="s">
        <v>86</v>
      </c>
      <c r="D7" s="29" t="s">
        <v>140</v>
      </c>
      <c r="E7" s="39" t="n">
        <v>40</v>
      </c>
      <c r="F7" s="29" t="s">
        <v>112</v>
      </c>
      <c r="G7" s="38" t="n">
        <f aca="false">IF(A7="","",DATE(YEAR(A7),MONTH(A7),1))</f>
        <v>46327</v>
      </c>
    </row>
    <row r="8" customFormat="false" ht="15" hidden="false" customHeight="false" outlineLevel="0" collapsed="false">
      <c r="A8" s="31"/>
      <c r="B8" s="29"/>
      <c r="C8" s="29"/>
      <c r="D8" s="29"/>
      <c r="E8" s="39"/>
      <c r="F8" s="29"/>
      <c r="G8" s="38" t="str">
        <f aca="false">IF(A8="","",DATE(YEAR(A8),MONTH(A8),1))</f>
        <v/>
      </c>
    </row>
    <row r="9" customFormat="false" ht="15" hidden="false" customHeight="false" outlineLevel="0" collapsed="false">
      <c r="A9" s="31"/>
      <c r="B9" s="29"/>
      <c r="C9" s="29"/>
      <c r="D9" s="29"/>
      <c r="E9" s="39"/>
      <c r="F9" s="29"/>
      <c r="G9" s="38" t="str">
        <f aca="false">IF(A9="","",DATE(YEAR(A9),MONTH(A9),1))</f>
        <v/>
      </c>
    </row>
    <row r="10" customFormat="false" ht="15" hidden="false" customHeight="false" outlineLevel="0" collapsed="false">
      <c r="A10" s="31"/>
      <c r="B10" s="29"/>
      <c r="C10" s="29"/>
      <c r="D10" s="29"/>
      <c r="E10" s="39"/>
      <c r="F10" s="29"/>
      <c r="G10" s="38" t="str">
        <f aca="false">IF(A10="","",DATE(YEAR(A10),MONTH(A10),1))</f>
        <v/>
      </c>
    </row>
    <row r="11" customFormat="false" ht="15" hidden="false" customHeight="false" outlineLevel="0" collapsed="false">
      <c r="A11" s="31"/>
      <c r="B11" s="29"/>
      <c r="C11" s="29"/>
      <c r="D11" s="29"/>
      <c r="E11" s="39"/>
      <c r="F11" s="29"/>
      <c r="G11" s="38" t="str">
        <f aca="false">IF(A11="","",DATE(YEAR(A11),MONTH(A11),1))</f>
        <v/>
      </c>
    </row>
    <row r="12" customFormat="false" ht="15" hidden="false" customHeight="false" outlineLevel="0" collapsed="false">
      <c r="A12" s="31"/>
      <c r="B12" s="29"/>
      <c r="C12" s="29"/>
      <c r="D12" s="29"/>
      <c r="E12" s="39"/>
      <c r="F12" s="29"/>
      <c r="G12" s="38" t="str">
        <f aca="false">IF(A12="","",DATE(YEAR(A12),MONTH(A12),1))</f>
        <v/>
      </c>
    </row>
    <row r="13" customFormat="false" ht="15" hidden="false" customHeight="false" outlineLevel="0" collapsed="false">
      <c r="A13" s="31"/>
      <c r="B13" s="29"/>
      <c r="C13" s="29"/>
      <c r="D13" s="29"/>
      <c r="E13" s="39"/>
      <c r="F13" s="29"/>
      <c r="G13" s="38" t="str">
        <f aca="false">IF(A13="","",DATE(YEAR(A13),MONTH(A13),1))</f>
        <v/>
      </c>
    </row>
    <row r="14" customFormat="false" ht="15" hidden="false" customHeight="false" outlineLevel="0" collapsed="false">
      <c r="A14" s="31"/>
      <c r="B14" s="29"/>
      <c r="C14" s="29"/>
      <c r="D14" s="29"/>
      <c r="E14" s="39"/>
      <c r="F14" s="29"/>
      <c r="G14" s="38" t="str">
        <f aca="false">IF(A14="","",DATE(YEAR(A14),MONTH(A14),1))</f>
        <v/>
      </c>
    </row>
    <row r="15" customFormat="false" ht="15" hidden="false" customHeight="false" outlineLevel="0" collapsed="false">
      <c r="A15" s="31"/>
      <c r="B15" s="29"/>
      <c r="C15" s="29"/>
      <c r="D15" s="29"/>
      <c r="E15" s="39"/>
      <c r="F15" s="29"/>
      <c r="G15" s="38" t="str">
        <f aca="false">IF(A15="","",DATE(YEAR(A15),MONTH(A15),1))</f>
        <v/>
      </c>
    </row>
    <row r="16" customFormat="false" ht="15" hidden="false" customHeight="false" outlineLevel="0" collapsed="false">
      <c r="A16" s="31"/>
      <c r="B16" s="29"/>
      <c r="C16" s="29"/>
      <c r="D16" s="29"/>
      <c r="E16" s="39"/>
      <c r="F16" s="29"/>
      <c r="G16" s="38" t="str">
        <f aca="false">IF(A16="","",DATE(YEAR(A16),MONTH(A16),1))</f>
        <v/>
      </c>
    </row>
    <row r="17" customFormat="false" ht="15" hidden="false" customHeight="false" outlineLevel="0" collapsed="false">
      <c r="A17" s="31"/>
      <c r="B17" s="29"/>
      <c r="C17" s="29"/>
      <c r="D17" s="29"/>
      <c r="E17" s="39"/>
      <c r="F17" s="29"/>
      <c r="G17" s="38" t="str">
        <f aca="false">IF(A17="","",DATE(YEAR(A17),MONTH(A17),1))</f>
        <v/>
      </c>
    </row>
    <row r="18" customFormat="false" ht="15" hidden="false" customHeight="false" outlineLevel="0" collapsed="false">
      <c r="A18" s="31"/>
      <c r="B18" s="29"/>
      <c r="C18" s="29"/>
      <c r="D18" s="29"/>
      <c r="E18" s="39"/>
      <c r="F18" s="29"/>
      <c r="G18" s="38" t="str">
        <f aca="false">IF(A18="","",DATE(YEAR(A18),MONTH(A18),1))</f>
        <v/>
      </c>
    </row>
    <row r="19" customFormat="false" ht="15" hidden="false" customHeight="false" outlineLevel="0" collapsed="false">
      <c r="A19" s="31"/>
      <c r="B19" s="29"/>
      <c r="C19" s="29"/>
      <c r="D19" s="29"/>
      <c r="E19" s="39"/>
      <c r="F19" s="29"/>
      <c r="G19" s="38" t="str">
        <f aca="false">IF(A19="","",DATE(YEAR(A19),MONTH(A19),1))</f>
        <v/>
      </c>
    </row>
    <row r="20" customFormat="false" ht="15" hidden="false" customHeight="false" outlineLevel="0" collapsed="false">
      <c r="A20" s="31"/>
      <c r="B20" s="29"/>
      <c r="C20" s="29"/>
      <c r="D20" s="29"/>
      <c r="E20" s="39"/>
      <c r="F20" s="29"/>
      <c r="G20" s="38" t="str">
        <f aca="false">IF(A20="","",DATE(YEAR(A20),MONTH(A20),1))</f>
        <v/>
      </c>
    </row>
    <row r="21" customFormat="false" ht="15" hidden="false" customHeight="false" outlineLevel="0" collapsed="false">
      <c r="A21" s="31"/>
      <c r="B21" s="29"/>
      <c r="C21" s="29"/>
      <c r="D21" s="29"/>
      <c r="E21" s="39"/>
      <c r="F21" s="29"/>
      <c r="G21" s="38" t="str">
        <f aca="false">IF(A21="","",DATE(YEAR(A21),MONTH(A21),1))</f>
        <v/>
      </c>
    </row>
    <row r="22" customFormat="false" ht="15" hidden="false" customHeight="false" outlineLevel="0" collapsed="false">
      <c r="A22" s="31"/>
      <c r="B22" s="29"/>
      <c r="C22" s="29"/>
      <c r="D22" s="29"/>
      <c r="E22" s="39"/>
      <c r="F22" s="29"/>
      <c r="G22" s="38" t="str">
        <f aca="false">IF(A22="","",DATE(YEAR(A22),MONTH(A22),1))</f>
        <v/>
      </c>
    </row>
    <row r="23" customFormat="false" ht="15" hidden="false" customHeight="false" outlineLevel="0" collapsed="false">
      <c r="A23" s="31"/>
      <c r="B23" s="29"/>
      <c r="C23" s="29"/>
      <c r="D23" s="29"/>
      <c r="E23" s="39"/>
      <c r="F23" s="29"/>
      <c r="G23" s="38" t="str">
        <f aca="false">IF(A23="","",DATE(YEAR(A23),MONTH(A23),1))</f>
        <v/>
      </c>
    </row>
    <row r="24" customFormat="false" ht="15" hidden="false" customHeight="false" outlineLevel="0" collapsed="false">
      <c r="A24" s="31"/>
      <c r="B24" s="29"/>
      <c r="C24" s="29"/>
      <c r="D24" s="29"/>
      <c r="E24" s="39"/>
      <c r="F24" s="29"/>
      <c r="G24" s="38" t="str">
        <f aca="false">IF(A24="","",DATE(YEAR(A24),MONTH(A24),1))</f>
        <v/>
      </c>
    </row>
    <row r="25" customFormat="false" ht="15" hidden="false" customHeight="false" outlineLevel="0" collapsed="false">
      <c r="A25" s="31"/>
      <c r="B25" s="29"/>
      <c r="C25" s="29"/>
      <c r="D25" s="29"/>
      <c r="E25" s="39"/>
      <c r="F25" s="29"/>
      <c r="G25" s="38" t="str">
        <f aca="false">IF(A25="","",DATE(YEAR(A25),MONTH(A25),1))</f>
        <v/>
      </c>
    </row>
    <row r="26" customFormat="false" ht="15" hidden="false" customHeight="false" outlineLevel="0" collapsed="false">
      <c r="A26" s="31"/>
      <c r="B26" s="29"/>
      <c r="C26" s="29"/>
      <c r="D26" s="29"/>
      <c r="E26" s="39"/>
      <c r="F26" s="29"/>
      <c r="G26" s="38" t="str">
        <f aca="false">IF(A26="","",DATE(YEAR(A26),MONTH(A26),1))</f>
        <v/>
      </c>
    </row>
    <row r="27" customFormat="false" ht="15" hidden="false" customHeight="false" outlineLevel="0" collapsed="false">
      <c r="A27" s="31"/>
      <c r="B27" s="29"/>
      <c r="C27" s="29"/>
      <c r="D27" s="29"/>
      <c r="E27" s="39"/>
      <c r="F27" s="29"/>
      <c r="G27" s="38" t="str">
        <f aca="false">IF(A27="","",DATE(YEAR(A27),MONTH(A27),1))</f>
        <v/>
      </c>
    </row>
    <row r="28" customFormat="false" ht="15" hidden="false" customHeight="false" outlineLevel="0" collapsed="false">
      <c r="A28" s="31"/>
      <c r="B28" s="29"/>
      <c r="C28" s="29"/>
      <c r="D28" s="29"/>
      <c r="E28" s="39"/>
      <c r="F28" s="29"/>
      <c r="G28" s="38" t="str">
        <f aca="false">IF(A28="","",DATE(YEAR(A28),MONTH(A28),1))</f>
        <v/>
      </c>
    </row>
    <row r="29" customFormat="false" ht="15" hidden="false" customHeight="false" outlineLevel="0" collapsed="false">
      <c r="A29" s="31"/>
      <c r="B29" s="29"/>
      <c r="C29" s="29"/>
      <c r="D29" s="29"/>
      <c r="E29" s="39"/>
      <c r="F29" s="29"/>
      <c r="G29" s="38" t="str">
        <f aca="false">IF(A29="","",DATE(YEAR(A29),MONTH(A29),1))</f>
        <v/>
      </c>
    </row>
    <row r="30" customFormat="false" ht="15" hidden="false" customHeight="false" outlineLevel="0" collapsed="false">
      <c r="A30" s="31"/>
      <c r="B30" s="29"/>
      <c r="C30" s="29"/>
      <c r="D30" s="29"/>
      <c r="E30" s="39"/>
      <c r="F30" s="29"/>
      <c r="G30" s="38" t="str">
        <f aca="false">IF(A30="","",DATE(YEAR(A30),MONTH(A30),1))</f>
        <v/>
      </c>
    </row>
    <row r="31" customFormat="false" ht="15" hidden="false" customHeight="false" outlineLevel="0" collapsed="false">
      <c r="A31" s="31"/>
      <c r="B31" s="29"/>
      <c r="C31" s="29"/>
      <c r="D31" s="29"/>
      <c r="E31" s="39"/>
      <c r="F31" s="29"/>
      <c r="G31" s="38" t="str">
        <f aca="false">IF(A31="","",DATE(YEAR(A31),MONTH(A31),1))</f>
        <v/>
      </c>
    </row>
    <row r="32" customFormat="false" ht="15" hidden="false" customHeight="false" outlineLevel="0" collapsed="false">
      <c r="A32" s="31"/>
      <c r="B32" s="29"/>
      <c r="C32" s="29"/>
      <c r="D32" s="29"/>
      <c r="E32" s="39"/>
      <c r="F32" s="29"/>
      <c r="G32" s="38" t="str">
        <f aca="false">IF(A32="","",DATE(YEAR(A32),MONTH(A32),1))</f>
        <v/>
      </c>
    </row>
    <row r="33" customFormat="false" ht="15" hidden="false" customHeight="false" outlineLevel="0" collapsed="false">
      <c r="A33" s="31"/>
      <c r="B33" s="29"/>
      <c r="C33" s="29"/>
      <c r="D33" s="29"/>
      <c r="E33" s="39"/>
      <c r="F33" s="29"/>
      <c r="G33" s="38" t="str">
        <f aca="false">IF(A33="","",DATE(YEAR(A33),MONTH(A33),1))</f>
        <v/>
      </c>
    </row>
    <row r="34" customFormat="false" ht="15" hidden="false" customHeight="false" outlineLevel="0" collapsed="false">
      <c r="A34" s="31"/>
      <c r="B34" s="29"/>
      <c r="C34" s="29"/>
      <c r="D34" s="29"/>
      <c r="E34" s="39"/>
      <c r="F34" s="29"/>
      <c r="G34" s="38" t="str">
        <f aca="false">IF(A34="","",DATE(YEAR(A34),MONTH(A34),1))</f>
        <v/>
      </c>
    </row>
    <row r="35" customFormat="false" ht="15" hidden="false" customHeight="false" outlineLevel="0" collapsed="false">
      <c r="A35" s="31"/>
      <c r="B35" s="29"/>
      <c r="C35" s="29"/>
      <c r="D35" s="29"/>
      <c r="E35" s="39"/>
      <c r="F35" s="29"/>
      <c r="G35" s="38" t="str">
        <f aca="false">IF(A35="","",DATE(YEAR(A35),MONTH(A35),1))</f>
        <v/>
      </c>
    </row>
    <row r="36" customFormat="false" ht="15" hidden="false" customHeight="false" outlineLevel="0" collapsed="false">
      <c r="A36" s="31"/>
      <c r="B36" s="29"/>
      <c r="C36" s="29"/>
      <c r="D36" s="29"/>
      <c r="E36" s="39"/>
      <c r="F36" s="29"/>
      <c r="G36" s="38" t="str">
        <f aca="false">IF(A36="","",DATE(YEAR(A36),MONTH(A36),1))</f>
        <v/>
      </c>
    </row>
    <row r="37" customFormat="false" ht="15" hidden="false" customHeight="false" outlineLevel="0" collapsed="false">
      <c r="A37" s="31"/>
      <c r="B37" s="29"/>
      <c r="C37" s="29"/>
      <c r="D37" s="29"/>
      <c r="E37" s="39"/>
      <c r="F37" s="29"/>
      <c r="G37" s="38" t="str">
        <f aca="false">IF(A37="","",DATE(YEAR(A37),MONTH(A37),1))</f>
        <v/>
      </c>
    </row>
    <row r="38" customFormat="false" ht="15" hidden="false" customHeight="false" outlineLevel="0" collapsed="false">
      <c r="A38" s="31"/>
      <c r="B38" s="29"/>
      <c r="C38" s="29"/>
      <c r="D38" s="29"/>
      <c r="E38" s="39"/>
      <c r="F38" s="29"/>
      <c r="G38" s="38" t="str">
        <f aca="false">IF(A38="","",DATE(YEAR(A38),MONTH(A38),1))</f>
        <v/>
      </c>
    </row>
    <row r="39" customFormat="false" ht="15" hidden="false" customHeight="false" outlineLevel="0" collapsed="false">
      <c r="A39" s="31"/>
      <c r="B39" s="29"/>
      <c r="C39" s="29"/>
      <c r="D39" s="29"/>
      <c r="E39" s="39"/>
      <c r="F39" s="29"/>
      <c r="G39" s="38" t="str">
        <f aca="false">IF(A39="","",DATE(YEAR(A39),MONTH(A39),1))</f>
        <v/>
      </c>
    </row>
    <row r="40" customFormat="false" ht="15" hidden="false" customHeight="false" outlineLevel="0" collapsed="false">
      <c r="A40" s="31"/>
      <c r="B40" s="29"/>
      <c r="C40" s="29"/>
      <c r="D40" s="29"/>
      <c r="E40" s="39"/>
      <c r="F40" s="29"/>
      <c r="G40" s="38" t="str">
        <f aca="false">IF(A40="","",DATE(YEAR(A40),MONTH(A40),1))</f>
        <v/>
      </c>
    </row>
    <row r="41" customFormat="false" ht="15" hidden="false" customHeight="false" outlineLevel="0" collapsed="false">
      <c r="A41" s="31"/>
      <c r="B41" s="29"/>
      <c r="C41" s="29"/>
      <c r="D41" s="29"/>
      <c r="E41" s="39"/>
      <c r="F41" s="29"/>
      <c r="G41" s="38" t="str">
        <f aca="false">IF(A41="","",DATE(YEAR(A41),MONTH(A41),1))</f>
        <v/>
      </c>
    </row>
    <row r="42" customFormat="false" ht="15" hidden="false" customHeight="false" outlineLevel="0" collapsed="false">
      <c r="A42" s="31"/>
      <c r="B42" s="29"/>
      <c r="C42" s="29"/>
      <c r="D42" s="29"/>
      <c r="E42" s="39"/>
      <c r="F42" s="29"/>
      <c r="G42" s="38" t="str">
        <f aca="false">IF(A42="","",DATE(YEAR(A42),MONTH(A42),1))</f>
        <v/>
      </c>
    </row>
    <row r="43" customFormat="false" ht="15" hidden="false" customHeight="false" outlineLevel="0" collapsed="false">
      <c r="A43" s="31"/>
      <c r="B43" s="29"/>
      <c r="C43" s="29"/>
      <c r="D43" s="29"/>
      <c r="E43" s="39"/>
      <c r="F43" s="29"/>
      <c r="G43" s="38" t="str">
        <f aca="false">IF(A43="","",DATE(YEAR(A43),MONTH(A43),1))</f>
        <v/>
      </c>
    </row>
    <row r="44" customFormat="false" ht="15" hidden="false" customHeight="false" outlineLevel="0" collapsed="false">
      <c r="A44" s="31"/>
      <c r="B44" s="29"/>
      <c r="C44" s="29"/>
      <c r="D44" s="29"/>
      <c r="E44" s="39"/>
      <c r="F44" s="29"/>
      <c r="G44" s="38" t="str">
        <f aca="false">IF(A44="","",DATE(YEAR(A44),MONTH(A44),1))</f>
        <v/>
      </c>
    </row>
    <row r="45" customFormat="false" ht="15" hidden="false" customHeight="false" outlineLevel="0" collapsed="false">
      <c r="A45" s="31"/>
      <c r="B45" s="29"/>
      <c r="C45" s="29"/>
      <c r="D45" s="29"/>
      <c r="E45" s="39"/>
      <c r="F45" s="29"/>
      <c r="G45" s="38" t="str">
        <f aca="false">IF(A45="","",DATE(YEAR(A45),MONTH(A45),1))</f>
        <v/>
      </c>
    </row>
    <row r="46" customFormat="false" ht="15" hidden="false" customHeight="false" outlineLevel="0" collapsed="false">
      <c r="A46" s="31"/>
      <c r="B46" s="29"/>
      <c r="C46" s="29"/>
      <c r="D46" s="29"/>
      <c r="E46" s="39"/>
      <c r="F46" s="29"/>
      <c r="G46" s="38" t="str">
        <f aca="false">IF(A46="","",DATE(YEAR(A46),MONTH(A46),1))</f>
        <v/>
      </c>
    </row>
    <row r="47" customFormat="false" ht="15" hidden="false" customHeight="false" outlineLevel="0" collapsed="false">
      <c r="A47" s="31"/>
      <c r="B47" s="29"/>
      <c r="C47" s="29"/>
      <c r="D47" s="29"/>
      <c r="E47" s="39"/>
      <c r="F47" s="29"/>
      <c r="G47" s="38" t="str">
        <f aca="false">IF(A47="","",DATE(YEAR(A47),MONTH(A47),1))</f>
        <v/>
      </c>
    </row>
    <row r="48" customFormat="false" ht="15" hidden="false" customHeight="false" outlineLevel="0" collapsed="false">
      <c r="A48" s="31"/>
      <c r="B48" s="29"/>
      <c r="C48" s="29"/>
      <c r="D48" s="29"/>
      <c r="E48" s="39"/>
      <c r="F48" s="29"/>
      <c r="G48" s="38" t="str">
        <f aca="false">IF(A48="","",DATE(YEAR(A48),MONTH(A48),1))</f>
        <v/>
      </c>
    </row>
    <row r="49" customFormat="false" ht="15" hidden="false" customHeight="false" outlineLevel="0" collapsed="false">
      <c r="A49" s="31"/>
      <c r="B49" s="29"/>
      <c r="C49" s="29"/>
      <c r="D49" s="29"/>
      <c r="E49" s="39"/>
      <c r="F49" s="29"/>
      <c r="G49" s="38" t="str">
        <f aca="false">IF(A49="","",DATE(YEAR(A49),MONTH(A49),1))</f>
        <v/>
      </c>
    </row>
    <row r="50" customFormat="false" ht="15" hidden="false" customHeight="false" outlineLevel="0" collapsed="false">
      <c r="A50" s="31"/>
      <c r="B50" s="29"/>
      <c r="C50" s="29"/>
      <c r="D50" s="29"/>
      <c r="E50" s="39"/>
      <c r="F50" s="29"/>
      <c r="G50" s="38" t="str">
        <f aca="false">IF(A50="","",DATE(YEAR(A50),MONTH(A50),1))</f>
        <v/>
      </c>
    </row>
    <row r="51" customFormat="false" ht="15" hidden="false" customHeight="false" outlineLevel="0" collapsed="false">
      <c r="A51" s="31"/>
      <c r="B51" s="29"/>
      <c r="C51" s="29"/>
      <c r="D51" s="29"/>
      <c r="E51" s="39"/>
      <c r="F51" s="29"/>
      <c r="G51" s="38" t="str">
        <f aca="false">IF(A51="","",DATE(YEAR(A51),MONTH(A51),1))</f>
        <v/>
      </c>
    </row>
    <row r="52" customFormat="false" ht="15" hidden="false" customHeight="false" outlineLevel="0" collapsed="false">
      <c r="A52" s="31"/>
      <c r="B52" s="29"/>
      <c r="C52" s="29"/>
      <c r="D52" s="29"/>
      <c r="E52" s="39"/>
      <c r="F52" s="29"/>
      <c r="G52" s="38" t="str">
        <f aca="false">IF(A52="","",DATE(YEAR(A52),MONTH(A52),1))</f>
        <v/>
      </c>
    </row>
    <row r="53" customFormat="false" ht="15" hidden="false" customHeight="false" outlineLevel="0" collapsed="false">
      <c r="A53" s="31"/>
      <c r="B53" s="29"/>
      <c r="C53" s="29"/>
      <c r="D53" s="29"/>
      <c r="E53" s="39"/>
      <c r="F53" s="29"/>
      <c r="G53" s="38" t="str">
        <f aca="false">IF(A53="","",DATE(YEAR(A53),MONTH(A53),1))</f>
        <v/>
      </c>
    </row>
    <row r="54" customFormat="false" ht="15" hidden="false" customHeight="false" outlineLevel="0" collapsed="false">
      <c r="A54" s="31"/>
      <c r="B54" s="29"/>
      <c r="C54" s="29"/>
      <c r="D54" s="29"/>
      <c r="E54" s="39"/>
      <c r="F54" s="29"/>
      <c r="G54" s="38" t="str">
        <f aca="false">IF(A54="","",DATE(YEAR(A54),MONTH(A54),1))</f>
        <v/>
      </c>
    </row>
    <row r="55" customFormat="false" ht="15" hidden="false" customHeight="false" outlineLevel="0" collapsed="false">
      <c r="A55" s="31"/>
      <c r="B55" s="29"/>
      <c r="C55" s="29"/>
      <c r="D55" s="29"/>
      <c r="E55" s="39"/>
      <c r="F55" s="29"/>
      <c r="G55" s="38" t="str">
        <f aca="false">IF(A55="","",DATE(YEAR(A55),MONTH(A55),1))</f>
        <v/>
      </c>
    </row>
    <row r="56" customFormat="false" ht="15" hidden="false" customHeight="false" outlineLevel="0" collapsed="false">
      <c r="A56" s="31"/>
      <c r="B56" s="29"/>
      <c r="C56" s="29"/>
      <c r="D56" s="29"/>
      <c r="E56" s="39"/>
      <c r="F56" s="29"/>
      <c r="G56" s="38" t="str">
        <f aca="false">IF(A56="","",DATE(YEAR(A56),MONTH(A56),1))</f>
        <v/>
      </c>
    </row>
    <row r="57" customFormat="false" ht="15" hidden="false" customHeight="false" outlineLevel="0" collapsed="false">
      <c r="A57" s="31"/>
      <c r="B57" s="29"/>
      <c r="C57" s="29"/>
      <c r="D57" s="29"/>
      <c r="E57" s="39"/>
      <c r="F57" s="29"/>
      <c r="G57" s="38" t="str">
        <f aca="false">IF(A57="","",DATE(YEAR(A57),MONTH(A57),1))</f>
        <v/>
      </c>
    </row>
    <row r="58" customFormat="false" ht="15" hidden="false" customHeight="false" outlineLevel="0" collapsed="false">
      <c r="A58" s="31"/>
      <c r="B58" s="29"/>
      <c r="C58" s="29"/>
      <c r="D58" s="29"/>
      <c r="E58" s="39"/>
      <c r="F58" s="29"/>
      <c r="G58" s="38" t="str">
        <f aca="false">IF(A58="","",DATE(YEAR(A58),MONTH(A58),1))</f>
        <v/>
      </c>
    </row>
    <row r="59" customFormat="false" ht="15" hidden="false" customHeight="false" outlineLevel="0" collapsed="false">
      <c r="A59" s="31"/>
      <c r="B59" s="29"/>
      <c r="C59" s="29"/>
      <c r="D59" s="29"/>
      <c r="E59" s="39"/>
      <c r="F59" s="29"/>
      <c r="G59" s="38" t="str">
        <f aca="false">IF(A59="","",DATE(YEAR(A59),MONTH(A59),1))</f>
        <v/>
      </c>
    </row>
    <row r="60" customFormat="false" ht="15" hidden="false" customHeight="false" outlineLevel="0" collapsed="false">
      <c r="A60" s="31"/>
      <c r="B60" s="29"/>
      <c r="C60" s="29"/>
      <c r="D60" s="29"/>
      <c r="E60" s="39"/>
      <c r="F60" s="29"/>
      <c r="G60" s="38" t="str">
        <f aca="false">IF(A60="","",DATE(YEAR(A60),MONTH(A60),1))</f>
        <v/>
      </c>
    </row>
    <row r="61" customFormat="false" ht="15" hidden="false" customHeight="false" outlineLevel="0" collapsed="false">
      <c r="A61" s="31"/>
      <c r="B61" s="29"/>
      <c r="C61" s="29"/>
      <c r="D61" s="29"/>
      <c r="E61" s="39"/>
      <c r="F61" s="29"/>
      <c r="G61" s="38" t="str">
        <f aca="false">IF(A61="","",DATE(YEAR(A61),MONTH(A61),1))</f>
        <v/>
      </c>
    </row>
    <row r="62" customFormat="false" ht="15" hidden="false" customHeight="false" outlineLevel="0" collapsed="false">
      <c r="A62" s="31"/>
      <c r="B62" s="29"/>
      <c r="C62" s="29"/>
      <c r="D62" s="29"/>
      <c r="E62" s="39"/>
      <c r="F62" s="29"/>
      <c r="G62" s="38" t="str">
        <f aca="false">IF(A62="","",DATE(YEAR(A62),MONTH(A62),1))</f>
        <v/>
      </c>
    </row>
    <row r="63" customFormat="false" ht="15" hidden="false" customHeight="false" outlineLevel="0" collapsed="false">
      <c r="A63" s="31"/>
      <c r="B63" s="29"/>
      <c r="C63" s="29"/>
      <c r="D63" s="29"/>
      <c r="E63" s="39"/>
      <c r="F63" s="29"/>
      <c r="G63" s="38" t="str">
        <f aca="false">IF(A63="","",DATE(YEAR(A63),MONTH(A63),1))</f>
        <v/>
      </c>
    </row>
    <row r="64" customFormat="false" ht="15" hidden="false" customHeight="false" outlineLevel="0" collapsed="false">
      <c r="A64" s="31"/>
      <c r="B64" s="29"/>
      <c r="C64" s="29"/>
      <c r="D64" s="29"/>
      <c r="E64" s="39"/>
      <c r="F64" s="29"/>
      <c r="G64" s="38" t="str">
        <f aca="false">IF(A64="","",DATE(YEAR(A64),MONTH(A64),1))</f>
        <v/>
      </c>
    </row>
    <row r="65" customFormat="false" ht="15" hidden="false" customHeight="false" outlineLevel="0" collapsed="false">
      <c r="A65" s="31"/>
      <c r="B65" s="29"/>
      <c r="C65" s="29"/>
      <c r="D65" s="29"/>
      <c r="E65" s="39"/>
      <c r="F65" s="29"/>
      <c r="G65" s="38" t="str">
        <f aca="false">IF(A65="","",DATE(YEAR(A65),MONTH(A65),1))</f>
        <v/>
      </c>
    </row>
    <row r="66" customFormat="false" ht="15" hidden="false" customHeight="false" outlineLevel="0" collapsed="false">
      <c r="A66" s="31"/>
      <c r="B66" s="29"/>
      <c r="C66" s="29"/>
      <c r="D66" s="29"/>
      <c r="E66" s="39"/>
      <c r="F66" s="29"/>
      <c r="G66" s="38" t="str">
        <f aca="false">IF(A66="","",DATE(YEAR(A66),MONTH(A66),1))</f>
        <v/>
      </c>
    </row>
    <row r="67" customFormat="false" ht="15" hidden="false" customHeight="false" outlineLevel="0" collapsed="false">
      <c r="A67" s="31"/>
      <c r="B67" s="29"/>
      <c r="C67" s="29"/>
      <c r="D67" s="29"/>
      <c r="E67" s="39"/>
      <c r="F67" s="29"/>
      <c r="G67" s="38" t="str">
        <f aca="false">IF(A67="","",DATE(YEAR(A67),MONTH(A67),1))</f>
        <v/>
      </c>
    </row>
    <row r="68" customFormat="false" ht="15" hidden="false" customHeight="false" outlineLevel="0" collapsed="false">
      <c r="A68" s="31"/>
      <c r="B68" s="29"/>
      <c r="C68" s="29"/>
      <c r="D68" s="29"/>
      <c r="E68" s="39"/>
      <c r="F68" s="29"/>
      <c r="G68" s="38" t="str">
        <f aca="false">IF(A68="","",DATE(YEAR(A68),MONTH(A68),1))</f>
        <v/>
      </c>
    </row>
    <row r="69" customFormat="false" ht="15" hidden="false" customHeight="false" outlineLevel="0" collapsed="false">
      <c r="A69" s="31"/>
      <c r="B69" s="29"/>
      <c r="C69" s="29"/>
      <c r="D69" s="29"/>
      <c r="E69" s="39"/>
      <c r="F69" s="29"/>
      <c r="G69" s="38" t="str">
        <f aca="false">IF(A69="","",DATE(YEAR(A69),MONTH(A69),1))</f>
        <v/>
      </c>
    </row>
    <row r="70" customFormat="false" ht="15" hidden="false" customHeight="false" outlineLevel="0" collapsed="false">
      <c r="A70" s="31"/>
      <c r="B70" s="29"/>
      <c r="C70" s="29"/>
      <c r="D70" s="29"/>
      <c r="E70" s="39"/>
      <c r="F70" s="29"/>
      <c r="G70" s="38" t="str">
        <f aca="false">IF(A70="","",DATE(YEAR(A70),MONTH(A70),1))</f>
        <v/>
      </c>
    </row>
    <row r="71" customFormat="false" ht="15" hidden="false" customHeight="false" outlineLevel="0" collapsed="false">
      <c r="A71" s="31"/>
      <c r="B71" s="29"/>
      <c r="C71" s="29"/>
      <c r="D71" s="29"/>
      <c r="E71" s="39"/>
      <c r="F71" s="29"/>
      <c r="G71" s="38" t="str">
        <f aca="false">IF(A71="","",DATE(YEAR(A71),MONTH(A71),1))</f>
        <v/>
      </c>
    </row>
    <row r="72" customFormat="false" ht="15" hidden="false" customHeight="false" outlineLevel="0" collapsed="false">
      <c r="A72" s="31"/>
      <c r="B72" s="29"/>
      <c r="C72" s="29"/>
      <c r="D72" s="29"/>
      <c r="E72" s="39"/>
      <c r="F72" s="29"/>
      <c r="G72" s="38" t="str">
        <f aca="false">IF(A72="","",DATE(YEAR(A72),MONTH(A72),1))</f>
        <v/>
      </c>
    </row>
    <row r="73" customFormat="false" ht="15" hidden="false" customHeight="false" outlineLevel="0" collapsed="false">
      <c r="A73" s="31"/>
      <c r="B73" s="29"/>
      <c r="C73" s="29"/>
      <c r="D73" s="29"/>
      <c r="E73" s="39"/>
      <c r="F73" s="29"/>
      <c r="G73" s="38" t="str">
        <f aca="false">IF(A73="","",DATE(YEAR(A73),MONTH(A73),1))</f>
        <v/>
      </c>
    </row>
    <row r="74" customFormat="false" ht="15" hidden="false" customHeight="false" outlineLevel="0" collapsed="false">
      <c r="A74" s="31"/>
      <c r="B74" s="29"/>
      <c r="C74" s="29"/>
      <c r="D74" s="29"/>
      <c r="E74" s="39"/>
      <c r="F74" s="29"/>
      <c r="G74" s="38" t="str">
        <f aca="false">IF(A74="","",DATE(YEAR(A74),MONTH(A74),1))</f>
        <v/>
      </c>
    </row>
    <row r="75" customFormat="false" ht="15" hidden="false" customHeight="false" outlineLevel="0" collapsed="false">
      <c r="A75" s="31"/>
      <c r="B75" s="29"/>
      <c r="C75" s="29"/>
      <c r="D75" s="29"/>
      <c r="E75" s="39"/>
      <c r="F75" s="29"/>
      <c r="G75" s="38" t="str">
        <f aca="false">IF(A75="","",DATE(YEAR(A75),MONTH(A75),1))</f>
        <v/>
      </c>
    </row>
    <row r="76" customFormat="false" ht="15" hidden="false" customHeight="false" outlineLevel="0" collapsed="false">
      <c r="A76" s="31"/>
      <c r="B76" s="29"/>
      <c r="C76" s="29"/>
      <c r="D76" s="29"/>
      <c r="E76" s="39"/>
      <c r="F76" s="29"/>
      <c r="G76" s="38" t="str">
        <f aca="false">IF(A76="","",DATE(YEAR(A76),MONTH(A76),1))</f>
        <v/>
      </c>
    </row>
    <row r="77" customFormat="false" ht="15" hidden="false" customHeight="false" outlineLevel="0" collapsed="false">
      <c r="A77" s="31"/>
      <c r="B77" s="29"/>
      <c r="C77" s="29"/>
      <c r="D77" s="29"/>
      <c r="E77" s="39"/>
      <c r="F77" s="29"/>
      <c r="G77" s="38" t="str">
        <f aca="false">IF(A77="","",DATE(YEAR(A77),MONTH(A77),1))</f>
        <v/>
      </c>
    </row>
    <row r="78" customFormat="false" ht="15" hidden="false" customHeight="false" outlineLevel="0" collapsed="false">
      <c r="A78" s="31"/>
      <c r="B78" s="29"/>
      <c r="C78" s="29"/>
      <c r="D78" s="29"/>
      <c r="E78" s="39"/>
      <c r="F78" s="29"/>
      <c r="G78" s="38" t="str">
        <f aca="false">IF(A78="","",DATE(YEAR(A78),MONTH(A78),1))</f>
        <v/>
      </c>
    </row>
    <row r="79" customFormat="false" ht="15" hidden="false" customHeight="false" outlineLevel="0" collapsed="false">
      <c r="A79" s="31"/>
      <c r="B79" s="29"/>
      <c r="C79" s="29"/>
      <c r="D79" s="29"/>
      <c r="E79" s="39"/>
      <c r="F79" s="29"/>
      <c r="G79" s="38" t="str">
        <f aca="false">IF(A79="","",DATE(YEAR(A79),MONTH(A79),1))</f>
        <v/>
      </c>
    </row>
    <row r="80" customFormat="false" ht="15" hidden="false" customHeight="false" outlineLevel="0" collapsed="false">
      <c r="A80" s="31"/>
      <c r="B80" s="29"/>
      <c r="C80" s="29"/>
      <c r="D80" s="29"/>
      <c r="E80" s="39"/>
      <c r="F80" s="29"/>
      <c r="G80" s="38" t="str">
        <f aca="false">IF(A80="","",DATE(YEAR(A80),MONTH(A80),1))</f>
        <v/>
      </c>
    </row>
    <row r="81" customFormat="false" ht="15" hidden="false" customHeight="false" outlineLevel="0" collapsed="false">
      <c r="A81" s="31"/>
      <c r="B81" s="29"/>
      <c r="C81" s="29"/>
      <c r="D81" s="29"/>
      <c r="E81" s="39"/>
      <c r="F81" s="29"/>
      <c r="G81" s="38" t="str">
        <f aca="false">IF(A81="","",DATE(YEAR(A81),MONTH(A81),1))</f>
        <v/>
      </c>
    </row>
    <row r="82" customFormat="false" ht="15" hidden="false" customHeight="false" outlineLevel="0" collapsed="false">
      <c r="A82" s="31"/>
      <c r="B82" s="29"/>
      <c r="C82" s="29"/>
      <c r="D82" s="29"/>
      <c r="E82" s="39"/>
      <c r="F82" s="29"/>
      <c r="G82" s="38" t="str">
        <f aca="false">IF(A82="","",DATE(YEAR(A82),MONTH(A82),1))</f>
        <v/>
      </c>
    </row>
    <row r="83" customFormat="false" ht="15" hidden="false" customHeight="false" outlineLevel="0" collapsed="false">
      <c r="A83" s="31"/>
      <c r="B83" s="29"/>
      <c r="C83" s="29"/>
      <c r="D83" s="29"/>
      <c r="E83" s="39"/>
      <c r="F83" s="29"/>
      <c r="G83" s="38" t="str">
        <f aca="false">IF(A83="","",DATE(YEAR(A83),MONTH(A83),1))</f>
        <v/>
      </c>
    </row>
    <row r="84" customFormat="false" ht="15" hidden="false" customHeight="false" outlineLevel="0" collapsed="false">
      <c r="A84" s="31"/>
      <c r="B84" s="29"/>
      <c r="C84" s="29"/>
      <c r="D84" s="29"/>
      <c r="E84" s="39"/>
      <c r="F84" s="29"/>
      <c r="G84" s="38" t="str">
        <f aca="false">IF(A84="","",DATE(YEAR(A84),MONTH(A84),1))</f>
        <v/>
      </c>
    </row>
    <row r="85" customFormat="false" ht="15" hidden="false" customHeight="false" outlineLevel="0" collapsed="false">
      <c r="A85" s="31"/>
      <c r="B85" s="29"/>
      <c r="C85" s="29"/>
      <c r="D85" s="29"/>
      <c r="E85" s="39"/>
      <c r="F85" s="29"/>
      <c r="G85" s="38" t="str">
        <f aca="false">IF(A85="","",DATE(YEAR(A85),MONTH(A85),1))</f>
        <v/>
      </c>
    </row>
    <row r="86" customFormat="false" ht="15" hidden="false" customHeight="false" outlineLevel="0" collapsed="false">
      <c r="A86" s="31"/>
      <c r="B86" s="29"/>
      <c r="C86" s="29"/>
      <c r="D86" s="29"/>
      <c r="E86" s="39"/>
      <c r="F86" s="29"/>
      <c r="G86" s="38" t="str">
        <f aca="false">IF(A86="","",DATE(YEAR(A86),MONTH(A86),1))</f>
        <v/>
      </c>
    </row>
    <row r="87" customFormat="false" ht="15" hidden="false" customHeight="false" outlineLevel="0" collapsed="false">
      <c r="A87" s="31"/>
      <c r="B87" s="29"/>
      <c r="C87" s="29"/>
      <c r="D87" s="29"/>
      <c r="E87" s="39"/>
      <c r="F87" s="29"/>
      <c r="G87" s="38" t="str">
        <f aca="false">IF(A87="","",DATE(YEAR(A87),MONTH(A87),1))</f>
        <v/>
      </c>
    </row>
    <row r="88" customFormat="false" ht="15" hidden="false" customHeight="false" outlineLevel="0" collapsed="false">
      <c r="A88" s="31"/>
      <c r="B88" s="29"/>
      <c r="C88" s="29"/>
      <c r="D88" s="29"/>
      <c r="E88" s="39"/>
      <c r="F88" s="29"/>
      <c r="G88" s="38" t="str">
        <f aca="false">IF(A88="","",DATE(YEAR(A88),MONTH(A88),1))</f>
        <v/>
      </c>
    </row>
    <row r="89" customFormat="false" ht="15" hidden="false" customHeight="false" outlineLevel="0" collapsed="false">
      <c r="A89" s="31"/>
      <c r="B89" s="29"/>
      <c r="C89" s="29"/>
      <c r="D89" s="29"/>
      <c r="E89" s="39"/>
      <c r="F89" s="29"/>
      <c r="G89" s="38" t="str">
        <f aca="false">IF(A89="","",DATE(YEAR(A89),MONTH(A89),1))</f>
        <v/>
      </c>
    </row>
    <row r="90" customFormat="false" ht="15" hidden="false" customHeight="false" outlineLevel="0" collapsed="false">
      <c r="A90" s="31"/>
      <c r="B90" s="29"/>
      <c r="C90" s="29"/>
      <c r="D90" s="29"/>
      <c r="E90" s="39"/>
      <c r="F90" s="29"/>
      <c r="G90" s="38" t="str">
        <f aca="false">IF(A90="","",DATE(YEAR(A90),MONTH(A90),1))</f>
        <v/>
      </c>
    </row>
    <row r="91" customFormat="false" ht="15" hidden="false" customHeight="false" outlineLevel="0" collapsed="false">
      <c r="A91" s="31"/>
      <c r="B91" s="29"/>
      <c r="C91" s="29"/>
      <c r="D91" s="29"/>
      <c r="E91" s="39"/>
      <c r="F91" s="29"/>
      <c r="G91" s="38" t="str">
        <f aca="false">IF(A91="","",DATE(YEAR(A91),MONTH(A91),1))</f>
        <v/>
      </c>
    </row>
    <row r="92" customFormat="false" ht="15" hidden="false" customHeight="false" outlineLevel="0" collapsed="false">
      <c r="A92" s="31"/>
      <c r="B92" s="29"/>
      <c r="C92" s="29"/>
      <c r="D92" s="29"/>
      <c r="E92" s="39"/>
      <c r="F92" s="29"/>
      <c r="G92" s="38" t="str">
        <f aca="false">IF(A92="","",DATE(YEAR(A92),MONTH(A92),1))</f>
        <v/>
      </c>
    </row>
    <row r="93" customFormat="false" ht="15" hidden="false" customHeight="false" outlineLevel="0" collapsed="false">
      <c r="A93" s="31"/>
      <c r="B93" s="29"/>
      <c r="C93" s="29"/>
      <c r="D93" s="29"/>
      <c r="E93" s="39"/>
      <c r="F93" s="29"/>
      <c r="G93" s="38" t="str">
        <f aca="false">IF(A93="","",DATE(YEAR(A93),MONTH(A93),1))</f>
        <v/>
      </c>
    </row>
    <row r="94" customFormat="false" ht="15" hidden="false" customHeight="false" outlineLevel="0" collapsed="false">
      <c r="A94" s="31"/>
      <c r="B94" s="29"/>
      <c r="C94" s="29"/>
      <c r="D94" s="29"/>
      <c r="E94" s="39"/>
      <c r="F94" s="29"/>
      <c r="G94" s="38" t="str">
        <f aca="false">IF(A94="","",DATE(YEAR(A94),MONTH(A94),1))</f>
        <v/>
      </c>
    </row>
    <row r="95" customFormat="false" ht="15" hidden="false" customHeight="false" outlineLevel="0" collapsed="false">
      <c r="A95" s="31"/>
      <c r="B95" s="29"/>
      <c r="C95" s="29"/>
      <c r="D95" s="29"/>
      <c r="E95" s="39"/>
      <c r="F95" s="29"/>
      <c r="G95" s="38" t="str">
        <f aca="false">IF(A95="","",DATE(YEAR(A95),MONTH(A95),1))</f>
        <v/>
      </c>
    </row>
    <row r="96" customFormat="false" ht="15" hidden="false" customHeight="false" outlineLevel="0" collapsed="false">
      <c r="A96" s="31"/>
      <c r="B96" s="29"/>
      <c r="C96" s="29"/>
      <c r="D96" s="29"/>
      <c r="E96" s="39"/>
      <c r="F96" s="29"/>
      <c r="G96" s="38" t="str">
        <f aca="false">IF(A96="","",DATE(YEAR(A96),MONTH(A96),1))</f>
        <v/>
      </c>
    </row>
    <row r="97" customFormat="false" ht="15" hidden="false" customHeight="false" outlineLevel="0" collapsed="false">
      <c r="A97" s="31"/>
      <c r="B97" s="29"/>
      <c r="C97" s="29"/>
      <c r="D97" s="29"/>
      <c r="E97" s="39"/>
      <c r="F97" s="29"/>
      <c r="G97" s="38" t="str">
        <f aca="false">IF(A97="","",DATE(YEAR(A97),MONTH(A97),1))</f>
        <v/>
      </c>
    </row>
    <row r="98" customFormat="false" ht="15" hidden="false" customHeight="false" outlineLevel="0" collapsed="false">
      <c r="A98" s="31"/>
      <c r="B98" s="29"/>
      <c r="C98" s="29"/>
      <c r="D98" s="29"/>
      <c r="E98" s="39"/>
      <c r="F98" s="29"/>
      <c r="G98" s="38" t="str">
        <f aca="false">IF(A98="","",DATE(YEAR(A98),MONTH(A98),1))</f>
        <v/>
      </c>
    </row>
    <row r="99" customFormat="false" ht="15" hidden="false" customHeight="false" outlineLevel="0" collapsed="false">
      <c r="A99" s="31"/>
      <c r="B99" s="29"/>
      <c r="C99" s="29"/>
      <c r="D99" s="29"/>
      <c r="E99" s="39"/>
      <c r="F99" s="29"/>
      <c r="G99" s="38" t="str">
        <f aca="false">IF(A99="","",DATE(YEAR(A99),MONTH(A99),1))</f>
        <v/>
      </c>
    </row>
    <row r="100" customFormat="false" ht="15" hidden="false" customHeight="false" outlineLevel="0" collapsed="false">
      <c r="A100" s="31"/>
      <c r="B100" s="29"/>
      <c r="C100" s="29"/>
      <c r="D100" s="29"/>
      <c r="E100" s="39"/>
      <c r="F100" s="29"/>
      <c r="G100" s="38" t="str">
        <f aca="false">IF(A100="","",DATE(YEAR(A100),MONTH(A100),1))</f>
        <v/>
      </c>
    </row>
    <row r="101" customFormat="false" ht="15" hidden="false" customHeight="false" outlineLevel="0" collapsed="false">
      <c r="A101" s="31"/>
      <c r="B101" s="29"/>
      <c r="C101" s="29"/>
      <c r="D101" s="29"/>
      <c r="E101" s="39"/>
      <c r="F101" s="29"/>
      <c r="G101" s="38" t="str">
        <f aca="false">IF(A101="","",DATE(YEAR(A101),MONTH(A101),1))</f>
        <v/>
      </c>
    </row>
    <row r="102" customFormat="false" ht="15" hidden="false" customHeight="false" outlineLevel="0" collapsed="false">
      <c r="A102" s="31"/>
      <c r="B102" s="29"/>
      <c r="C102" s="29"/>
      <c r="D102" s="29"/>
      <c r="E102" s="39"/>
      <c r="F102" s="29"/>
      <c r="G102" s="38" t="str">
        <f aca="false">IF(A102="","",DATE(YEAR(A102),MONTH(A102),1))</f>
        <v/>
      </c>
    </row>
    <row r="103" customFormat="false" ht="15" hidden="false" customHeight="false" outlineLevel="0" collapsed="false">
      <c r="A103" s="31"/>
      <c r="B103" s="29"/>
      <c r="C103" s="29"/>
      <c r="D103" s="29"/>
      <c r="E103" s="39"/>
      <c r="F103" s="29"/>
      <c r="G103" s="38" t="str">
        <f aca="false">IF(A103="","",DATE(YEAR(A103),MONTH(A103),1))</f>
        <v/>
      </c>
    </row>
    <row r="104" customFormat="false" ht="15" hidden="false" customHeight="false" outlineLevel="0" collapsed="false">
      <c r="A104" s="31"/>
      <c r="B104" s="29"/>
      <c r="C104" s="29"/>
      <c r="D104" s="29"/>
      <c r="E104" s="39"/>
      <c r="F104" s="29"/>
      <c r="G104" s="38" t="str">
        <f aca="false">IF(A104="","",DATE(YEAR(A104),MONTH(A104),1))</f>
        <v/>
      </c>
    </row>
    <row r="105" customFormat="false" ht="15" hidden="false" customHeight="false" outlineLevel="0" collapsed="false">
      <c r="A105" s="31"/>
      <c r="B105" s="29"/>
      <c r="C105" s="29"/>
      <c r="D105" s="29"/>
      <c r="E105" s="39"/>
      <c r="F105" s="29"/>
      <c r="G105" s="38" t="str">
        <f aca="false">IF(A105="","",DATE(YEAR(A105),MONTH(A105),1))</f>
        <v/>
      </c>
    </row>
    <row r="106" customFormat="false" ht="15" hidden="false" customHeight="false" outlineLevel="0" collapsed="false">
      <c r="A106" s="31"/>
      <c r="B106" s="29"/>
      <c r="C106" s="29"/>
      <c r="D106" s="29"/>
      <c r="E106" s="39"/>
      <c r="F106" s="29"/>
      <c r="G106" s="38" t="str">
        <f aca="false">IF(A106="","",DATE(YEAR(A106),MONTH(A106),1))</f>
        <v/>
      </c>
    </row>
    <row r="107" customFormat="false" ht="15" hidden="false" customHeight="false" outlineLevel="0" collapsed="false">
      <c r="A107" s="31"/>
      <c r="B107" s="29"/>
      <c r="C107" s="29"/>
      <c r="D107" s="29"/>
      <c r="E107" s="39"/>
      <c r="F107" s="29"/>
      <c r="G107" s="38" t="str">
        <f aca="false">IF(A107="","",DATE(YEAR(A107),MONTH(A107),1))</f>
        <v/>
      </c>
    </row>
    <row r="108" customFormat="false" ht="15" hidden="false" customHeight="false" outlineLevel="0" collapsed="false">
      <c r="A108" s="31"/>
      <c r="B108" s="29"/>
      <c r="C108" s="29"/>
      <c r="D108" s="29"/>
      <c r="E108" s="39"/>
      <c r="F108" s="29"/>
      <c r="G108" s="38" t="str">
        <f aca="false">IF(A108="","",DATE(YEAR(A108),MONTH(A108),1))</f>
        <v/>
      </c>
    </row>
    <row r="109" customFormat="false" ht="15" hidden="false" customHeight="false" outlineLevel="0" collapsed="false">
      <c r="A109" s="31"/>
      <c r="B109" s="29"/>
      <c r="C109" s="29"/>
      <c r="D109" s="29"/>
      <c r="E109" s="39"/>
      <c r="F109" s="29"/>
      <c r="G109" s="38" t="str">
        <f aca="false">IF(A109="","",DATE(YEAR(A109),MONTH(A109),1))</f>
        <v/>
      </c>
    </row>
    <row r="110" customFormat="false" ht="15" hidden="false" customHeight="false" outlineLevel="0" collapsed="false">
      <c r="A110" s="31"/>
      <c r="B110" s="29"/>
      <c r="C110" s="29"/>
      <c r="D110" s="29"/>
      <c r="E110" s="39"/>
      <c r="F110" s="29"/>
      <c r="G110" s="38" t="str">
        <f aca="false">IF(A110="","",DATE(YEAR(A110),MONTH(A110),1))</f>
        <v/>
      </c>
    </row>
    <row r="111" customFormat="false" ht="15" hidden="false" customHeight="false" outlineLevel="0" collapsed="false">
      <c r="A111" s="31"/>
      <c r="B111" s="29"/>
      <c r="C111" s="29"/>
      <c r="D111" s="29"/>
      <c r="E111" s="39"/>
      <c r="F111" s="29"/>
      <c r="G111" s="38" t="str">
        <f aca="false">IF(A111="","",DATE(YEAR(A111),MONTH(A111),1))</f>
        <v/>
      </c>
    </row>
    <row r="112" customFormat="false" ht="15" hidden="false" customHeight="false" outlineLevel="0" collapsed="false">
      <c r="A112" s="31"/>
      <c r="B112" s="29"/>
      <c r="C112" s="29"/>
      <c r="D112" s="29"/>
      <c r="E112" s="39"/>
      <c r="F112" s="29"/>
      <c r="G112" s="38" t="str">
        <f aca="false">IF(A112="","",DATE(YEAR(A112),MONTH(A112),1))</f>
        <v/>
      </c>
    </row>
    <row r="113" customFormat="false" ht="15" hidden="false" customHeight="false" outlineLevel="0" collapsed="false">
      <c r="A113" s="31"/>
      <c r="B113" s="29"/>
      <c r="C113" s="29"/>
      <c r="D113" s="29"/>
      <c r="E113" s="39"/>
      <c r="F113" s="29"/>
      <c r="G113" s="38" t="str">
        <f aca="false">IF(A113="","",DATE(YEAR(A113),MONTH(A113),1))</f>
        <v/>
      </c>
    </row>
    <row r="114" customFormat="false" ht="15" hidden="false" customHeight="false" outlineLevel="0" collapsed="false">
      <c r="A114" s="31"/>
      <c r="B114" s="29"/>
      <c r="C114" s="29"/>
      <c r="D114" s="29"/>
      <c r="E114" s="39"/>
      <c r="F114" s="29"/>
      <c r="G114" s="38" t="str">
        <f aca="false">IF(A114="","",DATE(YEAR(A114),MONTH(A114),1))</f>
        <v/>
      </c>
    </row>
    <row r="115" customFormat="false" ht="15" hidden="false" customHeight="false" outlineLevel="0" collapsed="false">
      <c r="A115" s="31"/>
      <c r="B115" s="29"/>
      <c r="C115" s="29"/>
      <c r="D115" s="29"/>
      <c r="E115" s="39"/>
      <c r="F115" s="29"/>
      <c r="G115" s="38" t="str">
        <f aca="false">IF(A115="","",DATE(YEAR(A115),MONTH(A115),1))</f>
        <v/>
      </c>
    </row>
    <row r="116" customFormat="false" ht="15" hidden="false" customHeight="false" outlineLevel="0" collapsed="false">
      <c r="A116" s="31"/>
      <c r="B116" s="29"/>
      <c r="C116" s="29"/>
      <c r="D116" s="29"/>
      <c r="E116" s="39"/>
      <c r="F116" s="29"/>
      <c r="G116" s="38" t="str">
        <f aca="false">IF(A116="","",DATE(YEAR(A116),MONTH(A116),1))</f>
        <v/>
      </c>
    </row>
    <row r="117" customFormat="false" ht="15" hidden="false" customHeight="false" outlineLevel="0" collapsed="false">
      <c r="A117" s="31"/>
      <c r="B117" s="29"/>
      <c r="C117" s="29"/>
      <c r="D117" s="29"/>
      <c r="E117" s="39"/>
      <c r="F117" s="29"/>
      <c r="G117" s="38" t="str">
        <f aca="false">IF(A117="","",DATE(YEAR(A117),MONTH(A117),1))</f>
        <v/>
      </c>
    </row>
    <row r="118" customFormat="false" ht="15" hidden="false" customHeight="false" outlineLevel="0" collapsed="false">
      <c r="A118" s="31"/>
      <c r="B118" s="29"/>
      <c r="C118" s="29"/>
      <c r="D118" s="29"/>
      <c r="E118" s="39"/>
      <c r="F118" s="29"/>
      <c r="G118" s="38" t="str">
        <f aca="false">IF(A118="","",DATE(YEAR(A118),MONTH(A118),1))</f>
        <v/>
      </c>
    </row>
    <row r="119" customFormat="false" ht="15" hidden="false" customHeight="false" outlineLevel="0" collapsed="false">
      <c r="A119" s="31"/>
      <c r="B119" s="29"/>
      <c r="C119" s="29"/>
      <c r="D119" s="29"/>
      <c r="E119" s="39"/>
      <c r="F119" s="29"/>
      <c r="G119" s="38" t="str">
        <f aca="false">IF(A119="","",DATE(YEAR(A119),MONTH(A119),1))</f>
        <v/>
      </c>
    </row>
    <row r="120" customFormat="false" ht="15" hidden="false" customHeight="false" outlineLevel="0" collapsed="false">
      <c r="A120" s="31"/>
      <c r="B120" s="29"/>
      <c r="C120" s="29"/>
      <c r="D120" s="29"/>
      <c r="E120" s="39"/>
      <c r="F120" s="29"/>
      <c r="G120" s="38" t="str">
        <f aca="false">IF(A120="","",DATE(YEAR(A120),MONTH(A120),1))</f>
        <v/>
      </c>
    </row>
    <row r="121" customFormat="false" ht="15" hidden="false" customHeight="false" outlineLevel="0" collapsed="false">
      <c r="A121" s="31"/>
      <c r="B121" s="29"/>
      <c r="C121" s="29"/>
      <c r="D121" s="29"/>
      <c r="E121" s="39"/>
      <c r="F121" s="29"/>
      <c r="G121" s="38" t="str">
        <f aca="false">IF(A121="","",DATE(YEAR(A121),MONTH(A121),1))</f>
        <v/>
      </c>
    </row>
    <row r="122" customFormat="false" ht="15" hidden="false" customHeight="false" outlineLevel="0" collapsed="false">
      <c r="A122" s="31"/>
      <c r="B122" s="29"/>
      <c r="C122" s="29"/>
      <c r="D122" s="29"/>
      <c r="E122" s="39"/>
      <c r="F122" s="29"/>
      <c r="G122" s="38" t="str">
        <f aca="false">IF(A122="","",DATE(YEAR(A122),MONTH(A122),1))</f>
        <v/>
      </c>
    </row>
    <row r="123" customFormat="false" ht="15" hidden="false" customHeight="false" outlineLevel="0" collapsed="false">
      <c r="A123" s="31"/>
      <c r="B123" s="29"/>
      <c r="C123" s="29"/>
      <c r="D123" s="29"/>
      <c r="E123" s="39"/>
      <c r="F123" s="29"/>
      <c r="G123" s="38" t="str">
        <f aca="false">IF(A123="","",DATE(YEAR(A123),MONTH(A123),1))</f>
        <v/>
      </c>
    </row>
    <row r="124" customFormat="false" ht="15" hidden="false" customHeight="false" outlineLevel="0" collapsed="false">
      <c r="A124" s="31"/>
      <c r="B124" s="29"/>
      <c r="C124" s="29"/>
      <c r="D124" s="29"/>
      <c r="E124" s="39"/>
      <c r="F124" s="29"/>
      <c r="G124" s="38" t="str">
        <f aca="false">IF(A124="","",DATE(YEAR(A124),MONTH(A124),1))</f>
        <v/>
      </c>
    </row>
    <row r="125" customFormat="false" ht="15" hidden="false" customHeight="false" outlineLevel="0" collapsed="false">
      <c r="A125" s="31"/>
      <c r="B125" s="29"/>
      <c r="C125" s="29"/>
      <c r="D125" s="29"/>
      <c r="E125" s="39"/>
      <c r="F125" s="29"/>
      <c r="G125" s="38" t="str">
        <f aca="false">IF(A125="","",DATE(YEAR(A125),MONTH(A125),1))</f>
        <v/>
      </c>
    </row>
    <row r="126" customFormat="false" ht="15" hidden="false" customHeight="false" outlineLevel="0" collapsed="false">
      <c r="A126" s="31"/>
      <c r="B126" s="29"/>
      <c r="C126" s="29"/>
      <c r="D126" s="29"/>
      <c r="E126" s="39"/>
      <c r="F126" s="29"/>
      <c r="G126" s="38" t="str">
        <f aca="false">IF(A126="","",DATE(YEAR(A126),MONTH(A126),1))</f>
        <v/>
      </c>
    </row>
    <row r="127" customFormat="false" ht="15" hidden="false" customHeight="false" outlineLevel="0" collapsed="false">
      <c r="A127" s="31"/>
      <c r="B127" s="29"/>
      <c r="C127" s="29"/>
      <c r="D127" s="29"/>
      <c r="E127" s="39"/>
      <c r="F127" s="29"/>
      <c r="G127" s="38" t="str">
        <f aca="false">IF(A127="","",DATE(YEAR(A127),MONTH(A127),1))</f>
        <v/>
      </c>
    </row>
    <row r="128" customFormat="false" ht="15" hidden="false" customHeight="false" outlineLevel="0" collapsed="false">
      <c r="A128" s="31"/>
      <c r="B128" s="29"/>
      <c r="C128" s="29"/>
      <c r="D128" s="29"/>
      <c r="E128" s="39"/>
      <c r="F128" s="29"/>
      <c r="G128" s="38" t="str">
        <f aca="false">IF(A128="","",DATE(YEAR(A128),MONTH(A128),1))</f>
        <v/>
      </c>
    </row>
    <row r="129" customFormat="false" ht="15" hidden="false" customHeight="false" outlineLevel="0" collapsed="false">
      <c r="A129" s="31"/>
      <c r="B129" s="29"/>
      <c r="C129" s="29"/>
      <c r="D129" s="29"/>
      <c r="E129" s="39"/>
      <c r="F129" s="29"/>
      <c r="G129" s="38" t="str">
        <f aca="false">IF(A129="","",DATE(YEAR(A129),MONTH(A129),1))</f>
        <v/>
      </c>
    </row>
    <row r="130" customFormat="false" ht="15" hidden="false" customHeight="false" outlineLevel="0" collapsed="false">
      <c r="A130" s="31"/>
      <c r="B130" s="29"/>
      <c r="C130" s="29"/>
      <c r="D130" s="29"/>
      <c r="E130" s="39"/>
      <c r="F130" s="29"/>
      <c r="G130" s="38" t="str">
        <f aca="false">IF(A130="","",DATE(YEAR(A130),MONTH(A130),1))</f>
        <v/>
      </c>
    </row>
    <row r="131" customFormat="false" ht="15" hidden="false" customHeight="false" outlineLevel="0" collapsed="false">
      <c r="A131" s="31"/>
      <c r="B131" s="29"/>
      <c r="C131" s="29"/>
      <c r="D131" s="29"/>
      <c r="E131" s="39"/>
      <c r="F131" s="29"/>
      <c r="G131" s="38" t="str">
        <f aca="false">IF(A131="","",DATE(YEAR(A131),MONTH(A131),1))</f>
        <v/>
      </c>
    </row>
    <row r="132" customFormat="false" ht="15" hidden="false" customHeight="false" outlineLevel="0" collapsed="false">
      <c r="A132" s="31"/>
      <c r="B132" s="29"/>
      <c r="C132" s="29"/>
      <c r="D132" s="29"/>
      <c r="E132" s="39"/>
      <c r="F132" s="29"/>
      <c r="G132" s="38" t="str">
        <f aca="false">IF(A132="","",DATE(YEAR(A132),MONTH(A132),1))</f>
        <v/>
      </c>
    </row>
    <row r="133" customFormat="false" ht="15" hidden="false" customHeight="false" outlineLevel="0" collapsed="false">
      <c r="A133" s="31"/>
      <c r="B133" s="29"/>
      <c r="C133" s="29"/>
      <c r="D133" s="29"/>
      <c r="E133" s="39"/>
      <c r="F133" s="29"/>
      <c r="G133" s="38" t="str">
        <f aca="false">IF(A133="","",DATE(YEAR(A133),MONTH(A133),1))</f>
        <v/>
      </c>
    </row>
    <row r="134" customFormat="false" ht="15" hidden="false" customHeight="false" outlineLevel="0" collapsed="false">
      <c r="A134" s="31"/>
      <c r="B134" s="29"/>
      <c r="C134" s="29"/>
      <c r="D134" s="29"/>
      <c r="E134" s="39"/>
      <c r="F134" s="29"/>
      <c r="G134" s="38" t="str">
        <f aca="false">IF(A134="","",DATE(YEAR(A134),MONTH(A134),1))</f>
        <v/>
      </c>
    </row>
    <row r="135" customFormat="false" ht="15" hidden="false" customHeight="false" outlineLevel="0" collapsed="false">
      <c r="A135" s="31"/>
      <c r="B135" s="29"/>
      <c r="C135" s="29"/>
      <c r="D135" s="29"/>
      <c r="E135" s="39"/>
      <c r="F135" s="29"/>
      <c r="G135" s="38" t="str">
        <f aca="false">IF(A135="","",DATE(YEAR(A135),MONTH(A135),1))</f>
        <v/>
      </c>
    </row>
    <row r="136" customFormat="false" ht="15" hidden="false" customHeight="false" outlineLevel="0" collapsed="false">
      <c r="A136" s="31"/>
      <c r="B136" s="29"/>
      <c r="C136" s="29"/>
      <c r="D136" s="29"/>
      <c r="E136" s="39"/>
      <c r="F136" s="29"/>
      <c r="G136" s="38" t="str">
        <f aca="false">IF(A136="","",DATE(YEAR(A136),MONTH(A136),1))</f>
        <v/>
      </c>
    </row>
    <row r="137" customFormat="false" ht="15" hidden="false" customHeight="false" outlineLevel="0" collapsed="false">
      <c r="A137" s="31"/>
      <c r="B137" s="29"/>
      <c r="C137" s="29"/>
      <c r="D137" s="29"/>
      <c r="E137" s="39"/>
      <c r="F137" s="29"/>
      <c r="G137" s="38" t="str">
        <f aca="false">IF(A137="","",DATE(YEAR(A137),MONTH(A137),1))</f>
        <v/>
      </c>
    </row>
    <row r="138" customFormat="false" ht="15" hidden="false" customHeight="false" outlineLevel="0" collapsed="false">
      <c r="A138" s="31"/>
      <c r="B138" s="29"/>
      <c r="C138" s="29"/>
      <c r="D138" s="29"/>
      <c r="E138" s="39"/>
      <c r="F138" s="29"/>
      <c r="G138" s="38" t="str">
        <f aca="false">IF(A138="","",DATE(YEAR(A138),MONTH(A138),1))</f>
        <v/>
      </c>
    </row>
    <row r="139" customFormat="false" ht="15" hidden="false" customHeight="false" outlineLevel="0" collapsed="false">
      <c r="A139" s="31"/>
      <c r="B139" s="29"/>
      <c r="C139" s="29"/>
      <c r="D139" s="29"/>
      <c r="E139" s="39"/>
      <c r="F139" s="29"/>
      <c r="G139" s="38" t="str">
        <f aca="false">IF(A139="","",DATE(YEAR(A139),MONTH(A139),1))</f>
        <v/>
      </c>
    </row>
    <row r="140" customFormat="false" ht="15" hidden="false" customHeight="false" outlineLevel="0" collapsed="false">
      <c r="A140" s="31"/>
      <c r="B140" s="29"/>
      <c r="C140" s="29"/>
      <c r="D140" s="29"/>
      <c r="E140" s="39"/>
      <c r="F140" s="29"/>
      <c r="G140" s="38" t="str">
        <f aca="false">IF(A140="","",DATE(YEAR(A140),MONTH(A140),1))</f>
        <v/>
      </c>
    </row>
    <row r="141" customFormat="false" ht="15" hidden="false" customHeight="false" outlineLevel="0" collapsed="false">
      <c r="A141" s="31"/>
      <c r="B141" s="29"/>
      <c r="C141" s="29"/>
      <c r="D141" s="29"/>
      <c r="E141" s="39"/>
      <c r="F141" s="29"/>
      <c r="G141" s="38" t="str">
        <f aca="false">IF(A141="","",DATE(YEAR(A141),MONTH(A141),1))</f>
        <v/>
      </c>
    </row>
    <row r="142" customFormat="false" ht="15" hidden="false" customHeight="false" outlineLevel="0" collapsed="false">
      <c r="A142" s="31"/>
      <c r="B142" s="29"/>
      <c r="C142" s="29"/>
      <c r="D142" s="29"/>
      <c r="E142" s="39"/>
      <c r="F142" s="29"/>
      <c r="G142" s="38" t="str">
        <f aca="false">IF(A142="","",DATE(YEAR(A142),MONTH(A142),1))</f>
        <v/>
      </c>
    </row>
    <row r="143" customFormat="false" ht="15" hidden="false" customHeight="false" outlineLevel="0" collapsed="false">
      <c r="A143" s="31"/>
      <c r="B143" s="29"/>
      <c r="C143" s="29"/>
      <c r="D143" s="29"/>
      <c r="E143" s="39"/>
      <c r="F143" s="29"/>
      <c r="G143" s="38" t="str">
        <f aca="false">IF(A143="","",DATE(YEAR(A143),MONTH(A143),1))</f>
        <v/>
      </c>
    </row>
    <row r="144" customFormat="false" ht="15" hidden="false" customHeight="false" outlineLevel="0" collapsed="false">
      <c r="A144" s="31"/>
      <c r="B144" s="29"/>
      <c r="C144" s="29"/>
      <c r="D144" s="29"/>
      <c r="E144" s="39"/>
      <c r="F144" s="29"/>
      <c r="G144" s="38" t="str">
        <f aca="false">IF(A144="","",DATE(YEAR(A144),MONTH(A144),1))</f>
        <v/>
      </c>
    </row>
    <row r="145" customFormat="false" ht="15" hidden="false" customHeight="false" outlineLevel="0" collapsed="false">
      <c r="A145" s="31"/>
      <c r="B145" s="29"/>
      <c r="C145" s="29"/>
      <c r="D145" s="29"/>
      <c r="E145" s="39"/>
      <c r="F145" s="29"/>
      <c r="G145" s="38" t="str">
        <f aca="false">IF(A145="","",DATE(YEAR(A145),MONTH(A145),1))</f>
        <v/>
      </c>
    </row>
    <row r="146" customFormat="false" ht="15" hidden="false" customHeight="false" outlineLevel="0" collapsed="false">
      <c r="A146" s="31"/>
      <c r="B146" s="29"/>
      <c r="C146" s="29"/>
      <c r="D146" s="29"/>
      <c r="E146" s="39"/>
      <c r="F146" s="29"/>
      <c r="G146" s="38" t="str">
        <f aca="false">IF(A146="","",DATE(YEAR(A146),MONTH(A146),1))</f>
        <v/>
      </c>
    </row>
    <row r="147" customFormat="false" ht="15" hidden="false" customHeight="false" outlineLevel="0" collapsed="false">
      <c r="A147" s="31"/>
      <c r="B147" s="29"/>
      <c r="C147" s="29"/>
      <c r="D147" s="29"/>
      <c r="E147" s="39"/>
      <c r="F147" s="29"/>
      <c r="G147" s="38" t="str">
        <f aca="false">IF(A147="","",DATE(YEAR(A147),MONTH(A147),1))</f>
        <v/>
      </c>
    </row>
    <row r="148" customFormat="false" ht="15" hidden="false" customHeight="false" outlineLevel="0" collapsed="false">
      <c r="A148" s="31"/>
      <c r="B148" s="29"/>
      <c r="C148" s="29"/>
      <c r="D148" s="29"/>
      <c r="E148" s="39"/>
      <c r="F148" s="29"/>
      <c r="G148" s="38" t="str">
        <f aca="false">IF(A148="","",DATE(YEAR(A148),MONTH(A148),1))</f>
        <v/>
      </c>
    </row>
    <row r="149" customFormat="false" ht="15" hidden="false" customHeight="false" outlineLevel="0" collapsed="false">
      <c r="A149" s="31"/>
      <c r="B149" s="29"/>
      <c r="C149" s="29"/>
      <c r="D149" s="29"/>
      <c r="E149" s="39"/>
      <c r="F149" s="29"/>
      <c r="G149" s="38" t="str">
        <f aca="false">IF(A149="","",DATE(YEAR(A149),MONTH(A149),1))</f>
        <v/>
      </c>
    </row>
    <row r="150" customFormat="false" ht="15" hidden="false" customHeight="false" outlineLevel="0" collapsed="false">
      <c r="A150" s="31"/>
      <c r="B150" s="29"/>
      <c r="C150" s="29"/>
      <c r="D150" s="29"/>
      <c r="E150" s="39"/>
      <c r="F150" s="29"/>
      <c r="G150" s="38" t="str">
        <f aca="false">IF(A150="","",DATE(YEAR(A150),MONTH(A150),1))</f>
        <v/>
      </c>
    </row>
    <row r="151" customFormat="false" ht="15" hidden="false" customHeight="false" outlineLevel="0" collapsed="false">
      <c r="A151" s="31"/>
      <c r="B151" s="29"/>
      <c r="C151" s="29"/>
      <c r="D151" s="29"/>
      <c r="E151" s="39"/>
      <c r="F151" s="29"/>
      <c r="G151" s="38" t="str">
        <f aca="false">IF(A151="","",DATE(YEAR(A151),MONTH(A151),1))</f>
        <v/>
      </c>
    </row>
    <row r="152" customFormat="false" ht="15" hidden="false" customHeight="false" outlineLevel="0" collapsed="false">
      <c r="A152" s="31"/>
      <c r="B152" s="29"/>
      <c r="C152" s="29"/>
      <c r="D152" s="29"/>
      <c r="E152" s="39"/>
      <c r="F152" s="29"/>
      <c r="G152" s="38" t="str">
        <f aca="false">IF(A152="","",DATE(YEAR(A152),MONTH(A152),1))</f>
        <v/>
      </c>
    </row>
    <row r="153" customFormat="false" ht="15" hidden="false" customHeight="false" outlineLevel="0" collapsed="false">
      <c r="A153" s="31"/>
      <c r="B153" s="29"/>
      <c r="C153" s="29"/>
      <c r="D153" s="29"/>
      <c r="E153" s="39"/>
      <c r="F153" s="29"/>
      <c r="G153" s="38" t="str">
        <f aca="false">IF(A153="","",DATE(YEAR(A153),MONTH(A153),1))</f>
        <v/>
      </c>
    </row>
    <row r="154" customFormat="false" ht="15" hidden="false" customHeight="false" outlineLevel="0" collapsed="false">
      <c r="A154" s="31"/>
      <c r="B154" s="29"/>
      <c r="C154" s="29"/>
      <c r="D154" s="29"/>
      <c r="E154" s="39"/>
      <c r="F154" s="29"/>
      <c r="G154" s="38" t="str">
        <f aca="false">IF(A154="","",DATE(YEAR(A154),MONTH(A154),1))</f>
        <v/>
      </c>
    </row>
    <row r="155" customFormat="false" ht="15" hidden="false" customHeight="false" outlineLevel="0" collapsed="false">
      <c r="A155" s="31"/>
      <c r="B155" s="29"/>
      <c r="C155" s="29"/>
      <c r="D155" s="29"/>
      <c r="E155" s="39"/>
      <c r="F155" s="29"/>
      <c r="G155" s="38" t="str">
        <f aca="false">IF(A155="","",DATE(YEAR(A155),MONTH(A155),1))</f>
        <v/>
      </c>
    </row>
    <row r="156" customFormat="false" ht="15" hidden="false" customHeight="false" outlineLevel="0" collapsed="false">
      <c r="A156" s="31"/>
      <c r="B156" s="29"/>
      <c r="C156" s="29"/>
      <c r="D156" s="29"/>
      <c r="E156" s="39"/>
      <c r="F156" s="29"/>
      <c r="G156" s="38" t="str">
        <f aca="false">IF(A156="","",DATE(YEAR(A156),MONTH(A156),1))</f>
        <v/>
      </c>
    </row>
    <row r="157" customFormat="false" ht="15" hidden="false" customHeight="false" outlineLevel="0" collapsed="false">
      <c r="A157" s="31"/>
      <c r="B157" s="29"/>
      <c r="C157" s="29"/>
      <c r="D157" s="29"/>
      <c r="E157" s="39"/>
      <c r="F157" s="29"/>
      <c r="G157" s="38" t="str">
        <f aca="false">IF(A157="","",DATE(YEAR(A157),MONTH(A157),1))</f>
        <v/>
      </c>
    </row>
    <row r="158" customFormat="false" ht="15" hidden="false" customHeight="false" outlineLevel="0" collapsed="false">
      <c r="A158" s="31"/>
      <c r="B158" s="29"/>
      <c r="C158" s="29"/>
      <c r="D158" s="29"/>
      <c r="E158" s="39"/>
      <c r="F158" s="29"/>
      <c r="G158" s="38" t="str">
        <f aca="false">IF(A158="","",DATE(YEAR(A158),MONTH(A158),1))</f>
        <v/>
      </c>
    </row>
    <row r="159" customFormat="false" ht="15" hidden="false" customHeight="false" outlineLevel="0" collapsed="false">
      <c r="A159" s="31"/>
      <c r="B159" s="29"/>
      <c r="C159" s="29"/>
      <c r="D159" s="29"/>
      <c r="E159" s="39"/>
      <c r="F159" s="29"/>
      <c r="G159" s="38" t="str">
        <f aca="false">IF(A159="","",DATE(YEAR(A159),MONTH(A159),1))</f>
        <v/>
      </c>
    </row>
    <row r="160" customFormat="false" ht="15" hidden="false" customHeight="false" outlineLevel="0" collapsed="false">
      <c r="A160" s="31"/>
      <c r="B160" s="29"/>
      <c r="C160" s="29"/>
      <c r="D160" s="29"/>
      <c r="E160" s="39"/>
      <c r="F160" s="29"/>
      <c r="G160" s="38" t="str">
        <f aca="false">IF(A160="","",DATE(YEAR(A160),MONTH(A160),1))</f>
        <v/>
      </c>
    </row>
    <row r="161" customFormat="false" ht="15" hidden="false" customHeight="false" outlineLevel="0" collapsed="false">
      <c r="A161" s="31"/>
      <c r="B161" s="29"/>
      <c r="C161" s="29"/>
      <c r="D161" s="29"/>
      <c r="E161" s="39"/>
      <c r="F161" s="29"/>
      <c r="G161" s="38" t="str">
        <f aca="false">IF(A161="","",DATE(YEAR(A161),MONTH(A161),1))</f>
        <v/>
      </c>
    </row>
    <row r="162" customFormat="false" ht="15" hidden="false" customHeight="false" outlineLevel="0" collapsed="false">
      <c r="A162" s="31"/>
      <c r="B162" s="29"/>
      <c r="C162" s="29"/>
      <c r="D162" s="29"/>
      <c r="E162" s="39"/>
      <c r="F162" s="29"/>
      <c r="G162" s="38" t="str">
        <f aca="false">IF(A162="","",DATE(YEAR(A162),MONTH(A162),1))</f>
        <v/>
      </c>
    </row>
    <row r="163" customFormat="false" ht="15" hidden="false" customHeight="false" outlineLevel="0" collapsed="false">
      <c r="A163" s="31"/>
      <c r="B163" s="29"/>
      <c r="C163" s="29"/>
      <c r="D163" s="29"/>
      <c r="E163" s="39"/>
      <c r="F163" s="29"/>
      <c r="G163" s="38" t="str">
        <f aca="false">IF(A163="","",DATE(YEAR(A163),MONTH(A163),1))</f>
        <v/>
      </c>
    </row>
    <row r="164" customFormat="false" ht="15" hidden="false" customHeight="false" outlineLevel="0" collapsed="false">
      <c r="A164" s="31"/>
      <c r="B164" s="29"/>
      <c r="C164" s="29"/>
      <c r="D164" s="29"/>
      <c r="E164" s="39"/>
      <c r="F164" s="29"/>
      <c r="G164" s="38" t="str">
        <f aca="false">IF(A164="","",DATE(YEAR(A164),MONTH(A164),1))</f>
        <v/>
      </c>
    </row>
    <row r="165" customFormat="false" ht="15" hidden="false" customHeight="false" outlineLevel="0" collapsed="false">
      <c r="A165" s="31"/>
      <c r="B165" s="29"/>
      <c r="C165" s="29"/>
      <c r="D165" s="29"/>
      <c r="E165" s="39"/>
      <c r="F165" s="29"/>
      <c r="G165" s="38" t="str">
        <f aca="false">IF(A165="","",DATE(YEAR(A165),MONTH(A165),1))</f>
        <v/>
      </c>
    </row>
    <row r="166" customFormat="false" ht="15" hidden="false" customHeight="false" outlineLevel="0" collapsed="false">
      <c r="A166" s="31"/>
      <c r="B166" s="29"/>
      <c r="C166" s="29"/>
      <c r="D166" s="29"/>
      <c r="E166" s="39"/>
      <c r="F166" s="29"/>
      <c r="G166" s="38" t="str">
        <f aca="false">IF(A166="","",DATE(YEAR(A166),MONTH(A166),1))</f>
        <v/>
      </c>
    </row>
    <row r="167" customFormat="false" ht="15" hidden="false" customHeight="false" outlineLevel="0" collapsed="false">
      <c r="A167" s="31"/>
      <c r="B167" s="29"/>
      <c r="C167" s="29"/>
      <c r="D167" s="29"/>
      <c r="E167" s="39"/>
      <c r="F167" s="29"/>
      <c r="G167" s="38" t="str">
        <f aca="false">IF(A167="","",DATE(YEAR(A167),MONTH(A167),1))</f>
        <v/>
      </c>
    </row>
    <row r="168" customFormat="false" ht="15" hidden="false" customHeight="false" outlineLevel="0" collapsed="false">
      <c r="A168" s="31"/>
      <c r="B168" s="29"/>
      <c r="C168" s="29"/>
      <c r="D168" s="29"/>
      <c r="E168" s="39"/>
      <c r="F168" s="29"/>
      <c r="G168" s="38" t="str">
        <f aca="false">IF(A168="","",DATE(YEAR(A168),MONTH(A168),1))</f>
        <v/>
      </c>
    </row>
    <row r="169" customFormat="false" ht="15" hidden="false" customHeight="false" outlineLevel="0" collapsed="false">
      <c r="A169" s="31"/>
      <c r="B169" s="29"/>
      <c r="C169" s="29"/>
      <c r="D169" s="29"/>
      <c r="E169" s="39"/>
      <c r="F169" s="29"/>
      <c r="G169" s="38" t="str">
        <f aca="false">IF(A169="","",DATE(YEAR(A169),MONTH(A169),1))</f>
        <v/>
      </c>
    </row>
    <row r="170" customFormat="false" ht="15" hidden="false" customHeight="false" outlineLevel="0" collapsed="false">
      <c r="A170" s="31"/>
      <c r="B170" s="29"/>
      <c r="C170" s="29"/>
      <c r="D170" s="29"/>
      <c r="E170" s="39"/>
      <c r="F170" s="29"/>
      <c r="G170" s="38" t="str">
        <f aca="false">IF(A170="","",DATE(YEAR(A170),MONTH(A170),1))</f>
        <v/>
      </c>
    </row>
    <row r="171" customFormat="false" ht="15" hidden="false" customHeight="false" outlineLevel="0" collapsed="false">
      <c r="A171" s="31"/>
      <c r="B171" s="29"/>
      <c r="C171" s="29"/>
      <c r="D171" s="29"/>
      <c r="E171" s="39"/>
      <c r="F171" s="29"/>
      <c r="G171" s="38" t="str">
        <f aca="false">IF(A171="","",DATE(YEAR(A171),MONTH(A171),1))</f>
        <v/>
      </c>
    </row>
    <row r="172" customFormat="false" ht="15" hidden="false" customHeight="false" outlineLevel="0" collapsed="false">
      <c r="A172" s="31"/>
      <c r="B172" s="29"/>
      <c r="C172" s="29"/>
      <c r="D172" s="29"/>
      <c r="E172" s="39"/>
      <c r="F172" s="29"/>
      <c r="G172" s="38" t="str">
        <f aca="false">IF(A172="","",DATE(YEAR(A172),MONTH(A172),1))</f>
        <v/>
      </c>
    </row>
    <row r="173" customFormat="false" ht="15" hidden="false" customHeight="false" outlineLevel="0" collapsed="false">
      <c r="A173" s="31"/>
      <c r="B173" s="29"/>
      <c r="C173" s="29"/>
      <c r="D173" s="29"/>
      <c r="E173" s="39"/>
      <c r="F173" s="29"/>
      <c r="G173" s="38" t="str">
        <f aca="false">IF(A173="","",DATE(YEAR(A173),MONTH(A173),1))</f>
        <v/>
      </c>
    </row>
    <row r="174" customFormat="false" ht="15" hidden="false" customHeight="false" outlineLevel="0" collapsed="false">
      <c r="A174" s="31"/>
      <c r="B174" s="29"/>
      <c r="C174" s="29"/>
      <c r="D174" s="29"/>
      <c r="E174" s="39"/>
      <c r="F174" s="29"/>
      <c r="G174" s="38" t="str">
        <f aca="false">IF(A174="","",DATE(YEAR(A174),MONTH(A174),1))</f>
        <v/>
      </c>
    </row>
    <row r="175" customFormat="false" ht="15" hidden="false" customHeight="false" outlineLevel="0" collapsed="false">
      <c r="A175" s="31"/>
      <c r="B175" s="29"/>
      <c r="C175" s="29"/>
      <c r="D175" s="29"/>
      <c r="E175" s="39"/>
      <c r="F175" s="29"/>
      <c r="G175" s="38" t="str">
        <f aca="false">IF(A175="","",DATE(YEAR(A175),MONTH(A175),1))</f>
        <v/>
      </c>
    </row>
    <row r="176" customFormat="false" ht="15" hidden="false" customHeight="false" outlineLevel="0" collapsed="false">
      <c r="A176" s="31"/>
      <c r="B176" s="29"/>
      <c r="C176" s="29"/>
      <c r="D176" s="29"/>
      <c r="E176" s="39"/>
      <c r="F176" s="29"/>
      <c r="G176" s="38" t="str">
        <f aca="false">IF(A176="","",DATE(YEAR(A176),MONTH(A176),1))</f>
        <v/>
      </c>
    </row>
    <row r="177" customFormat="false" ht="15" hidden="false" customHeight="false" outlineLevel="0" collapsed="false">
      <c r="A177" s="31"/>
      <c r="B177" s="29"/>
      <c r="C177" s="29"/>
      <c r="D177" s="29"/>
      <c r="E177" s="39"/>
      <c r="F177" s="29"/>
      <c r="G177" s="38" t="str">
        <f aca="false">IF(A177="","",DATE(YEAR(A177),MONTH(A177),1))</f>
        <v/>
      </c>
    </row>
    <row r="178" customFormat="false" ht="15" hidden="false" customHeight="false" outlineLevel="0" collapsed="false">
      <c r="A178" s="31"/>
      <c r="B178" s="29"/>
      <c r="C178" s="29"/>
      <c r="D178" s="29"/>
      <c r="E178" s="39"/>
      <c r="F178" s="29"/>
      <c r="G178" s="38" t="str">
        <f aca="false">IF(A178="","",DATE(YEAR(A178),MONTH(A178),1))</f>
        <v/>
      </c>
    </row>
    <row r="179" customFormat="false" ht="15" hidden="false" customHeight="false" outlineLevel="0" collapsed="false">
      <c r="A179" s="31"/>
      <c r="B179" s="29"/>
      <c r="C179" s="29"/>
      <c r="D179" s="29"/>
      <c r="E179" s="39"/>
      <c r="F179" s="29"/>
      <c r="G179" s="38" t="str">
        <f aca="false">IF(A179="","",DATE(YEAR(A179),MONTH(A179),1))</f>
        <v/>
      </c>
    </row>
    <row r="180" customFormat="false" ht="15" hidden="false" customHeight="false" outlineLevel="0" collapsed="false">
      <c r="A180" s="31"/>
      <c r="B180" s="29"/>
      <c r="C180" s="29"/>
      <c r="D180" s="29"/>
      <c r="E180" s="39"/>
      <c r="F180" s="29"/>
      <c r="G180" s="38" t="str">
        <f aca="false">IF(A180="","",DATE(YEAR(A180),MONTH(A180),1))</f>
        <v/>
      </c>
    </row>
    <row r="181" customFormat="false" ht="15" hidden="false" customHeight="false" outlineLevel="0" collapsed="false">
      <c r="A181" s="31"/>
      <c r="B181" s="29"/>
      <c r="C181" s="29"/>
      <c r="D181" s="29"/>
      <c r="E181" s="39"/>
      <c r="F181" s="29"/>
      <c r="G181" s="38" t="str">
        <f aca="false">IF(A181="","",DATE(YEAR(A181),MONTH(A181),1))</f>
        <v/>
      </c>
    </row>
    <row r="182" customFormat="false" ht="15" hidden="false" customHeight="false" outlineLevel="0" collapsed="false">
      <c r="A182" s="31"/>
      <c r="B182" s="29"/>
      <c r="C182" s="29"/>
      <c r="D182" s="29"/>
      <c r="E182" s="39"/>
      <c r="F182" s="29"/>
      <c r="G182" s="38" t="str">
        <f aca="false">IF(A182="","",DATE(YEAR(A182),MONTH(A182),1))</f>
        <v/>
      </c>
    </row>
    <row r="183" customFormat="false" ht="15" hidden="false" customHeight="false" outlineLevel="0" collapsed="false">
      <c r="A183" s="31"/>
      <c r="B183" s="29"/>
      <c r="C183" s="29"/>
      <c r="D183" s="29"/>
      <c r="E183" s="39"/>
      <c r="F183" s="29"/>
      <c r="G183" s="38" t="str">
        <f aca="false">IF(A183="","",DATE(YEAR(A183),MONTH(A183),1))</f>
        <v/>
      </c>
    </row>
    <row r="184" customFormat="false" ht="15" hidden="false" customHeight="false" outlineLevel="0" collapsed="false">
      <c r="A184" s="31"/>
      <c r="B184" s="29"/>
      <c r="C184" s="29"/>
      <c r="D184" s="29"/>
      <c r="E184" s="39"/>
      <c r="F184" s="29"/>
      <c r="G184" s="38" t="str">
        <f aca="false">IF(A184="","",DATE(YEAR(A184),MONTH(A184),1))</f>
        <v/>
      </c>
    </row>
    <row r="185" customFormat="false" ht="15" hidden="false" customHeight="false" outlineLevel="0" collapsed="false">
      <c r="A185" s="31"/>
      <c r="B185" s="29"/>
      <c r="C185" s="29"/>
      <c r="D185" s="29"/>
      <c r="E185" s="39"/>
      <c r="F185" s="29"/>
      <c r="G185" s="38" t="str">
        <f aca="false">IF(A185="","",DATE(YEAR(A185),MONTH(A185),1))</f>
        <v/>
      </c>
    </row>
    <row r="186" customFormat="false" ht="15" hidden="false" customHeight="false" outlineLevel="0" collapsed="false">
      <c r="A186" s="31"/>
      <c r="B186" s="29"/>
      <c r="C186" s="29"/>
      <c r="D186" s="29"/>
      <c r="E186" s="39"/>
      <c r="F186" s="29"/>
      <c r="G186" s="38" t="str">
        <f aca="false">IF(A186="","",DATE(YEAR(A186),MONTH(A186),1))</f>
        <v/>
      </c>
    </row>
    <row r="187" customFormat="false" ht="15" hidden="false" customHeight="false" outlineLevel="0" collapsed="false">
      <c r="A187" s="31"/>
      <c r="B187" s="29"/>
      <c r="C187" s="29"/>
      <c r="D187" s="29"/>
      <c r="E187" s="39"/>
      <c r="F187" s="29"/>
      <c r="G187" s="38" t="str">
        <f aca="false">IF(A187="","",DATE(YEAR(A187),MONTH(A187),1))</f>
        <v/>
      </c>
    </row>
    <row r="188" customFormat="false" ht="15" hidden="false" customHeight="false" outlineLevel="0" collapsed="false">
      <c r="A188" s="31"/>
      <c r="B188" s="29"/>
      <c r="C188" s="29"/>
      <c r="D188" s="29"/>
      <c r="E188" s="39"/>
      <c r="F188" s="29"/>
      <c r="G188" s="38" t="str">
        <f aca="false">IF(A188="","",DATE(YEAR(A188),MONTH(A188),1))</f>
        <v/>
      </c>
    </row>
    <row r="189" customFormat="false" ht="15" hidden="false" customHeight="false" outlineLevel="0" collapsed="false">
      <c r="A189" s="31"/>
      <c r="B189" s="29"/>
      <c r="C189" s="29"/>
      <c r="D189" s="29"/>
      <c r="E189" s="39"/>
      <c r="F189" s="29"/>
      <c r="G189" s="38" t="str">
        <f aca="false">IF(A189="","",DATE(YEAR(A189),MONTH(A189),1))</f>
        <v/>
      </c>
    </row>
    <row r="190" customFormat="false" ht="15" hidden="false" customHeight="false" outlineLevel="0" collapsed="false">
      <c r="A190" s="31"/>
      <c r="B190" s="29"/>
      <c r="C190" s="29"/>
      <c r="D190" s="29"/>
      <c r="E190" s="39"/>
      <c r="F190" s="29"/>
      <c r="G190" s="38" t="str">
        <f aca="false">IF(A190="","",DATE(YEAR(A190),MONTH(A190),1))</f>
        <v/>
      </c>
    </row>
    <row r="191" customFormat="false" ht="15" hidden="false" customHeight="false" outlineLevel="0" collapsed="false">
      <c r="A191" s="31"/>
      <c r="B191" s="29"/>
      <c r="C191" s="29"/>
      <c r="D191" s="29"/>
      <c r="E191" s="39"/>
      <c r="F191" s="29"/>
      <c r="G191" s="38" t="str">
        <f aca="false">IF(A191="","",DATE(YEAR(A191),MONTH(A191),1))</f>
        <v/>
      </c>
    </row>
    <row r="192" customFormat="false" ht="15" hidden="false" customHeight="false" outlineLevel="0" collapsed="false">
      <c r="A192" s="31"/>
      <c r="B192" s="29"/>
      <c r="C192" s="29"/>
      <c r="D192" s="29"/>
      <c r="E192" s="39"/>
      <c r="F192" s="29"/>
      <c r="G192" s="38" t="str">
        <f aca="false">IF(A192="","",DATE(YEAR(A192),MONTH(A192),1))</f>
        <v/>
      </c>
    </row>
    <row r="193" customFormat="false" ht="15" hidden="false" customHeight="false" outlineLevel="0" collapsed="false">
      <c r="A193" s="31"/>
      <c r="B193" s="29"/>
      <c r="C193" s="29"/>
      <c r="D193" s="29"/>
      <c r="E193" s="39"/>
      <c r="F193" s="29"/>
      <c r="G193" s="38" t="str">
        <f aca="false">IF(A193="","",DATE(YEAR(A193),MONTH(A193),1))</f>
        <v/>
      </c>
    </row>
    <row r="194" customFormat="false" ht="15" hidden="false" customHeight="false" outlineLevel="0" collapsed="false">
      <c r="A194" s="31"/>
      <c r="B194" s="29"/>
      <c r="C194" s="29"/>
      <c r="D194" s="29"/>
      <c r="E194" s="39"/>
      <c r="F194" s="29"/>
      <c r="G194" s="38" t="str">
        <f aca="false">IF(A194="","",DATE(YEAR(A194),MONTH(A194),1))</f>
        <v/>
      </c>
    </row>
    <row r="195" customFormat="false" ht="15" hidden="false" customHeight="false" outlineLevel="0" collapsed="false">
      <c r="A195" s="31"/>
      <c r="B195" s="29"/>
      <c r="C195" s="29"/>
      <c r="D195" s="29"/>
      <c r="E195" s="39"/>
      <c r="F195" s="29"/>
      <c r="G195" s="38" t="str">
        <f aca="false">IF(A195="","",DATE(YEAR(A195),MONTH(A195),1))</f>
        <v/>
      </c>
    </row>
    <row r="196" customFormat="false" ht="15" hidden="false" customHeight="false" outlineLevel="0" collapsed="false">
      <c r="A196" s="31"/>
      <c r="B196" s="29"/>
      <c r="C196" s="29"/>
      <c r="D196" s="29"/>
      <c r="E196" s="39"/>
      <c r="F196" s="29"/>
      <c r="G196" s="38" t="str">
        <f aca="false">IF(A196="","",DATE(YEAR(A196),MONTH(A196),1))</f>
        <v/>
      </c>
    </row>
    <row r="197" customFormat="false" ht="15" hidden="false" customHeight="false" outlineLevel="0" collapsed="false">
      <c r="A197" s="31"/>
      <c r="B197" s="29"/>
      <c r="C197" s="29"/>
      <c r="D197" s="29"/>
      <c r="E197" s="39"/>
      <c r="F197" s="29"/>
      <c r="G197" s="38" t="str">
        <f aca="false">IF(A197="","",DATE(YEAR(A197),MONTH(A197),1))</f>
        <v/>
      </c>
    </row>
    <row r="198" customFormat="false" ht="15" hidden="false" customHeight="false" outlineLevel="0" collapsed="false">
      <c r="A198" s="31"/>
      <c r="B198" s="29"/>
      <c r="C198" s="29"/>
      <c r="D198" s="29"/>
      <c r="E198" s="39"/>
      <c r="F198" s="29"/>
      <c r="G198" s="38" t="str">
        <f aca="false">IF(A198="","",DATE(YEAR(A198),MONTH(A198),1))</f>
        <v/>
      </c>
    </row>
    <row r="199" customFormat="false" ht="15" hidden="false" customHeight="false" outlineLevel="0" collapsed="false">
      <c r="A199" s="31"/>
      <c r="B199" s="29"/>
      <c r="C199" s="29"/>
      <c r="D199" s="29"/>
      <c r="E199" s="39"/>
      <c r="F199" s="29"/>
      <c r="G199" s="38" t="str">
        <f aca="false">IF(A199="","",DATE(YEAR(A199),MONTH(A199),1))</f>
        <v/>
      </c>
    </row>
    <row r="200" customFormat="false" ht="15" hidden="false" customHeight="false" outlineLevel="0" collapsed="false">
      <c r="A200" s="31"/>
      <c r="B200" s="29"/>
      <c r="C200" s="29"/>
      <c r="D200" s="29"/>
      <c r="E200" s="39"/>
      <c r="F200" s="29"/>
      <c r="G200" s="38" t="str">
        <f aca="false">IF(A200="","",DATE(YEAR(A200),MONTH(A200),1))</f>
        <v/>
      </c>
    </row>
    <row r="201" customFormat="false" ht="15" hidden="false" customHeight="false" outlineLevel="0" collapsed="false">
      <c r="A201" s="31"/>
      <c r="B201" s="29"/>
      <c r="C201" s="29"/>
      <c r="D201" s="29"/>
      <c r="E201" s="39"/>
      <c r="F201" s="29"/>
      <c r="G201" s="38" t="str">
        <f aca="false">IF(A201="","",DATE(YEAR(A201),MONTH(A201),1))</f>
        <v/>
      </c>
    </row>
    <row r="202" customFormat="false" ht="15" hidden="false" customHeight="false" outlineLevel="0" collapsed="false">
      <c r="A202" s="31"/>
      <c r="B202" s="29"/>
      <c r="C202" s="29"/>
      <c r="D202" s="29"/>
      <c r="E202" s="39"/>
      <c r="F202" s="29"/>
      <c r="G202" s="38" t="str">
        <f aca="false">IF(A202="","",DATE(YEAR(A202),MONTH(A202),1))</f>
        <v/>
      </c>
    </row>
    <row r="203" customFormat="false" ht="15" hidden="false" customHeight="false" outlineLevel="0" collapsed="false">
      <c r="A203" s="31"/>
      <c r="B203" s="29"/>
      <c r="C203" s="29"/>
      <c r="D203" s="29"/>
      <c r="E203" s="39"/>
      <c r="F203" s="29"/>
      <c r="G203" s="38" t="str">
        <f aca="false">IF(A203="","",DATE(YEAR(A203),MONTH(A203),1))</f>
        <v/>
      </c>
    </row>
    <row r="204" customFormat="false" ht="15" hidden="false" customHeight="false" outlineLevel="0" collapsed="false">
      <c r="A204" s="31"/>
      <c r="B204" s="29"/>
      <c r="C204" s="29"/>
      <c r="D204" s="29"/>
      <c r="E204" s="39"/>
      <c r="F204" s="29"/>
      <c r="G204" s="38" t="str">
        <f aca="false">IF(A204="","",DATE(YEAR(A204),MONTH(A204),1))</f>
        <v/>
      </c>
    </row>
    <row r="205" customFormat="false" ht="15" hidden="false" customHeight="false" outlineLevel="0" collapsed="false">
      <c r="A205" s="31"/>
      <c r="B205" s="29"/>
      <c r="C205" s="29"/>
      <c r="D205" s="29"/>
      <c r="E205" s="39"/>
      <c r="F205" s="29"/>
      <c r="G205" s="38" t="str">
        <f aca="false">IF(A205="","",DATE(YEAR(A205),MONTH(A205),1))</f>
        <v/>
      </c>
    </row>
    <row r="206" customFormat="false" ht="15" hidden="false" customHeight="false" outlineLevel="0" collapsed="false">
      <c r="A206" s="31"/>
      <c r="B206" s="29"/>
      <c r="C206" s="29"/>
      <c r="D206" s="29"/>
      <c r="E206" s="39"/>
      <c r="F206" s="29"/>
      <c r="G206" s="38" t="str">
        <f aca="false">IF(A206="","",DATE(YEAR(A206),MONTH(A206),1))</f>
        <v/>
      </c>
    </row>
    <row r="207" customFormat="false" ht="15" hidden="false" customHeight="false" outlineLevel="0" collapsed="false">
      <c r="A207" s="31"/>
      <c r="B207" s="29"/>
      <c r="C207" s="29"/>
      <c r="D207" s="29"/>
      <c r="E207" s="39"/>
      <c r="F207" s="29"/>
      <c r="G207" s="38" t="str">
        <f aca="false">IF(A207="","",DATE(YEAR(A207),MONTH(A207),1))</f>
        <v/>
      </c>
    </row>
    <row r="208" customFormat="false" ht="15" hidden="false" customHeight="false" outlineLevel="0" collapsed="false">
      <c r="A208" s="31"/>
      <c r="B208" s="29"/>
      <c r="C208" s="29"/>
      <c r="D208" s="29"/>
      <c r="E208" s="39"/>
      <c r="F208" s="29"/>
      <c r="G208" s="38" t="str">
        <f aca="false">IF(A208="","",DATE(YEAR(A208),MONTH(A208),1))</f>
        <v/>
      </c>
    </row>
    <row r="209" customFormat="false" ht="15" hidden="false" customHeight="false" outlineLevel="0" collapsed="false">
      <c r="A209" s="31"/>
      <c r="B209" s="29"/>
      <c r="C209" s="29"/>
      <c r="D209" s="29"/>
      <c r="E209" s="39"/>
      <c r="F209" s="29"/>
      <c r="G209" s="38" t="str">
        <f aca="false">IF(A209="","",DATE(YEAR(A209),MONTH(A209),1))</f>
        <v/>
      </c>
    </row>
    <row r="210" customFormat="false" ht="15" hidden="false" customHeight="false" outlineLevel="0" collapsed="false">
      <c r="A210" s="31"/>
      <c r="B210" s="29"/>
      <c r="C210" s="29"/>
      <c r="D210" s="29"/>
      <c r="E210" s="39"/>
      <c r="F210" s="29"/>
      <c r="G210" s="38" t="str">
        <f aca="false">IF(A210="","",DATE(YEAR(A210),MONTH(A210),1))</f>
        <v/>
      </c>
    </row>
    <row r="211" customFormat="false" ht="15" hidden="false" customHeight="false" outlineLevel="0" collapsed="false">
      <c r="A211" s="31"/>
      <c r="B211" s="29"/>
      <c r="C211" s="29"/>
      <c r="D211" s="29"/>
      <c r="E211" s="39"/>
      <c r="F211" s="29"/>
      <c r="G211" s="38" t="str">
        <f aca="false">IF(A211="","",DATE(YEAR(A211),MONTH(A211),1))</f>
        <v/>
      </c>
    </row>
    <row r="212" customFormat="false" ht="15" hidden="false" customHeight="false" outlineLevel="0" collapsed="false">
      <c r="A212" s="31"/>
      <c r="B212" s="29"/>
      <c r="C212" s="29"/>
      <c r="D212" s="29"/>
      <c r="E212" s="39"/>
      <c r="F212" s="29"/>
      <c r="G212" s="38" t="str">
        <f aca="false">IF(A212="","",DATE(YEAR(A212),MONTH(A212),1))</f>
        <v/>
      </c>
    </row>
    <row r="213" customFormat="false" ht="15" hidden="false" customHeight="false" outlineLevel="0" collapsed="false">
      <c r="A213" s="31"/>
      <c r="B213" s="29"/>
      <c r="C213" s="29"/>
      <c r="D213" s="29"/>
      <c r="E213" s="39"/>
      <c r="F213" s="29"/>
      <c r="G213" s="38" t="str">
        <f aca="false">IF(A213="","",DATE(YEAR(A213),MONTH(A213),1))</f>
        <v/>
      </c>
    </row>
    <row r="214" customFormat="false" ht="15" hidden="false" customHeight="false" outlineLevel="0" collapsed="false">
      <c r="A214" s="31"/>
      <c r="B214" s="29"/>
      <c r="C214" s="29"/>
      <c r="D214" s="29"/>
      <c r="E214" s="39"/>
      <c r="F214" s="29"/>
      <c r="G214" s="38" t="str">
        <f aca="false">IF(A214="","",DATE(YEAR(A214),MONTH(A214),1))</f>
        <v/>
      </c>
    </row>
    <row r="215" customFormat="false" ht="15" hidden="false" customHeight="false" outlineLevel="0" collapsed="false">
      <c r="A215" s="31"/>
      <c r="B215" s="29"/>
      <c r="C215" s="29"/>
      <c r="D215" s="29"/>
      <c r="E215" s="39"/>
      <c r="F215" s="29"/>
      <c r="G215" s="38" t="str">
        <f aca="false">IF(A215="","",DATE(YEAR(A215),MONTH(A215),1))</f>
        <v/>
      </c>
    </row>
    <row r="216" customFormat="false" ht="15" hidden="false" customHeight="false" outlineLevel="0" collapsed="false">
      <c r="A216" s="31"/>
      <c r="B216" s="29"/>
      <c r="C216" s="29"/>
      <c r="D216" s="29"/>
      <c r="E216" s="39"/>
      <c r="F216" s="29"/>
      <c r="G216" s="38" t="str">
        <f aca="false">IF(A216="","",DATE(YEAR(A216),MONTH(A216),1))</f>
        <v/>
      </c>
    </row>
    <row r="217" customFormat="false" ht="15" hidden="false" customHeight="false" outlineLevel="0" collapsed="false">
      <c r="A217" s="31"/>
      <c r="B217" s="29"/>
      <c r="C217" s="29"/>
      <c r="D217" s="29"/>
      <c r="E217" s="39"/>
      <c r="F217" s="29"/>
      <c r="G217" s="38" t="str">
        <f aca="false">IF(A217="","",DATE(YEAR(A217),MONTH(A217),1))</f>
        <v/>
      </c>
    </row>
    <row r="218" customFormat="false" ht="15" hidden="false" customHeight="false" outlineLevel="0" collapsed="false">
      <c r="A218" s="31"/>
      <c r="B218" s="29"/>
      <c r="C218" s="29"/>
      <c r="D218" s="29"/>
      <c r="E218" s="39"/>
      <c r="F218" s="29"/>
      <c r="G218" s="38" t="str">
        <f aca="false">IF(A218="","",DATE(YEAR(A218),MONTH(A218),1))</f>
        <v/>
      </c>
    </row>
    <row r="219" customFormat="false" ht="15" hidden="false" customHeight="false" outlineLevel="0" collapsed="false">
      <c r="A219" s="31"/>
      <c r="B219" s="29"/>
      <c r="C219" s="29"/>
      <c r="D219" s="29"/>
      <c r="E219" s="39"/>
      <c r="F219" s="29"/>
      <c r="G219" s="38" t="str">
        <f aca="false">IF(A219="","",DATE(YEAR(A219),MONTH(A219),1))</f>
        <v/>
      </c>
    </row>
    <row r="220" customFormat="false" ht="15" hidden="false" customHeight="false" outlineLevel="0" collapsed="false">
      <c r="A220" s="31"/>
      <c r="B220" s="29"/>
      <c r="C220" s="29"/>
      <c r="D220" s="29"/>
      <c r="E220" s="39"/>
      <c r="F220" s="29"/>
      <c r="G220" s="38" t="str">
        <f aca="false">IF(A220="","",DATE(YEAR(A220),MONTH(A220),1))</f>
        <v/>
      </c>
    </row>
    <row r="221" customFormat="false" ht="15" hidden="false" customHeight="false" outlineLevel="0" collapsed="false">
      <c r="A221" s="31"/>
      <c r="B221" s="29"/>
      <c r="C221" s="29"/>
      <c r="D221" s="29"/>
      <c r="E221" s="39"/>
      <c r="F221" s="29"/>
      <c r="G221" s="38" t="str">
        <f aca="false">IF(A221="","",DATE(YEAR(A221),MONTH(A221),1))</f>
        <v/>
      </c>
    </row>
    <row r="222" customFormat="false" ht="15" hidden="false" customHeight="false" outlineLevel="0" collapsed="false">
      <c r="A222" s="31"/>
      <c r="B222" s="29"/>
      <c r="C222" s="29"/>
      <c r="D222" s="29"/>
      <c r="E222" s="39"/>
      <c r="F222" s="29"/>
      <c r="G222" s="38" t="str">
        <f aca="false">IF(A222="","",DATE(YEAR(A222),MONTH(A222),1))</f>
        <v/>
      </c>
    </row>
    <row r="223" customFormat="false" ht="15" hidden="false" customHeight="false" outlineLevel="0" collapsed="false">
      <c r="A223" s="31"/>
      <c r="B223" s="29"/>
      <c r="C223" s="29"/>
      <c r="D223" s="29"/>
      <c r="E223" s="39"/>
      <c r="F223" s="29"/>
      <c r="G223" s="38" t="str">
        <f aca="false">IF(A223="","",DATE(YEAR(A223),MONTH(A223),1))</f>
        <v/>
      </c>
    </row>
    <row r="224" customFormat="false" ht="15" hidden="false" customHeight="false" outlineLevel="0" collapsed="false">
      <c r="A224" s="31"/>
      <c r="B224" s="29"/>
      <c r="C224" s="29"/>
      <c r="D224" s="29"/>
      <c r="E224" s="39"/>
      <c r="F224" s="29"/>
      <c r="G224" s="38" t="str">
        <f aca="false">IF(A224="","",DATE(YEAR(A224),MONTH(A224),1))</f>
        <v/>
      </c>
    </row>
    <row r="225" customFormat="false" ht="15" hidden="false" customHeight="false" outlineLevel="0" collapsed="false">
      <c r="A225" s="31"/>
      <c r="B225" s="29"/>
      <c r="C225" s="29"/>
      <c r="D225" s="29"/>
      <c r="E225" s="39"/>
      <c r="F225" s="29"/>
      <c r="G225" s="38" t="str">
        <f aca="false">IF(A225="","",DATE(YEAR(A225),MONTH(A225),1))</f>
        <v/>
      </c>
    </row>
    <row r="226" customFormat="false" ht="15" hidden="false" customHeight="false" outlineLevel="0" collapsed="false">
      <c r="A226" s="31"/>
      <c r="B226" s="29"/>
      <c r="C226" s="29"/>
      <c r="D226" s="29"/>
      <c r="E226" s="39"/>
      <c r="F226" s="29"/>
      <c r="G226" s="38" t="str">
        <f aca="false">IF(A226="","",DATE(YEAR(A226),MONTH(A226),1))</f>
        <v/>
      </c>
    </row>
    <row r="227" customFormat="false" ht="15" hidden="false" customHeight="false" outlineLevel="0" collapsed="false">
      <c r="A227" s="31"/>
      <c r="B227" s="29"/>
      <c r="C227" s="29"/>
      <c r="D227" s="29"/>
      <c r="E227" s="39"/>
      <c r="F227" s="29"/>
      <c r="G227" s="38" t="str">
        <f aca="false">IF(A227="","",DATE(YEAR(A227),MONTH(A227),1))</f>
        <v/>
      </c>
    </row>
    <row r="228" customFormat="false" ht="15" hidden="false" customHeight="false" outlineLevel="0" collapsed="false">
      <c r="A228" s="31"/>
      <c r="B228" s="29"/>
      <c r="C228" s="29"/>
      <c r="D228" s="29"/>
      <c r="E228" s="39"/>
      <c r="F228" s="29"/>
      <c r="G228" s="38" t="str">
        <f aca="false">IF(A228="","",DATE(YEAR(A228),MONTH(A228),1))</f>
        <v/>
      </c>
    </row>
    <row r="229" customFormat="false" ht="15" hidden="false" customHeight="false" outlineLevel="0" collapsed="false">
      <c r="A229" s="31"/>
      <c r="B229" s="29"/>
      <c r="C229" s="29"/>
      <c r="D229" s="29"/>
      <c r="E229" s="39"/>
      <c r="F229" s="29"/>
      <c r="G229" s="38" t="str">
        <f aca="false">IF(A229="","",DATE(YEAR(A229),MONTH(A229),1))</f>
        <v/>
      </c>
    </row>
    <row r="230" customFormat="false" ht="15" hidden="false" customHeight="false" outlineLevel="0" collapsed="false">
      <c r="A230" s="31"/>
      <c r="B230" s="29"/>
      <c r="C230" s="29"/>
      <c r="D230" s="29"/>
      <c r="E230" s="39"/>
      <c r="F230" s="29"/>
      <c r="G230" s="38" t="str">
        <f aca="false">IF(A230="","",DATE(YEAR(A230),MONTH(A230),1))</f>
        <v/>
      </c>
    </row>
    <row r="231" customFormat="false" ht="15" hidden="false" customHeight="false" outlineLevel="0" collapsed="false">
      <c r="A231" s="31"/>
      <c r="B231" s="29"/>
      <c r="C231" s="29"/>
      <c r="D231" s="29"/>
      <c r="E231" s="39"/>
      <c r="F231" s="29"/>
      <c r="G231" s="38" t="str">
        <f aca="false">IF(A231="","",DATE(YEAR(A231),MONTH(A231),1))</f>
        <v/>
      </c>
    </row>
    <row r="232" customFormat="false" ht="15" hidden="false" customHeight="false" outlineLevel="0" collapsed="false">
      <c r="A232" s="31"/>
      <c r="B232" s="29"/>
      <c r="C232" s="29"/>
      <c r="D232" s="29"/>
      <c r="E232" s="39"/>
      <c r="F232" s="29"/>
      <c r="G232" s="38" t="str">
        <f aca="false">IF(A232="","",DATE(YEAR(A232),MONTH(A232),1))</f>
        <v/>
      </c>
    </row>
    <row r="233" customFormat="false" ht="15" hidden="false" customHeight="false" outlineLevel="0" collapsed="false">
      <c r="A233" s="31"/>
      <c r="B233" s="29"/>
      <c r="C233" s="29"/>
      <c r="D233" s="29"/>
      <c r="E233" s="39"/>
      <c r="F233" s="29"/>
      <c r="G233" s="38" t="str">
        <f aca="false">IF(A233="","",DATE(YEAR(A233),MONTH(A233),1))</f>
        <v/>
      </c>
    </row>
    <row r="234" customFormat="false" ht="15" hidden="false" customHeight="false" outlineLevel="0" collapsed="false">
      <c r="A234" s="31"/>
      <c r="B234" s="29"/>
      <c r="C234" s="29"/>
      <c r="D234" s="29"/>
      <c r="E234" s="39"/>
      <c r="F234" s="29"/>
      <c r="G234" s="38" t="str">
        <f aca="false">IF(A234="","",DATE(YEAR(A234),MONTH(A234),1))</f>
        <v/>
      </c>
    </row>
    <row r="235" customFormat="false" ht="15" hidden="false" customHeight="false" outlineLevel="0" collapsed="false">
      <c r="A235" s="31"/>
      <c r="B235" s="29"/>
      <c r="C235" s="29"/>
      <c r="D235" s="29"/>
      <c r="E235" s="39"/>
      <c r="F235" s="29"/>
      <c r="G235" s="38" t="str">
        <f aca="false">IF(A235="","",DATE(YEAR(A235),MONTH(A235),1))</f>
        <v/>
      </c>
    </row>
    <row r="236" customFormat="false" ht="15" hidden="false" customHeight="false" outlineLevel="0" collapsed="false">
      <c r="A236" s="31"/>
      <c r="B236" s="29"/>
      <c r="C236" s="29"/>
      <c r="D236" s="29"/>
      <c r="E236" s="39"/>
      <c r="F236" s="29"/>
      <c r="G236" s="38" t="str">
        <f aca="false">IF(A236="","",DATE(YEAR(A236),MONTH(A236),1))</f>
        <v/>
      </c>
    </row>
    <row r="237" customFormat="false" ht="15" hidden="false" customHeight="false" outlineLevel="0" collapsed="false">
      <c r="A237" s="31"/>
      <c r="B237" s="29"/>
      <c r="C237" s="29"/>
      <c r="D237" s="29"/>
      <c r="E237" s="39"/>
      <c r="F237" s="29"/>
      <c r="G237" s="38" t="str">
        <f aca="false">IF(A237="","",DATE(YEAR(A237),MONTH(A237),1))</f>
        <v/>
      </c>
    </row>
    <row r="238" customFormat="false" ht="15" hidden="false" customHeight="false" outlineLevel="0" collapsed="false">
      <c r="A238" s="31"/>
      <c r="B238" s="29"/>
      <c r="C238" s="29"/>
      <c r="D238" s="29"/>
      <c r="E238" s="39"/>
      <c r="F238" s="29"/>
      <c r="G238" s="38" t="str">
        <f aca="false">IF(A238="","",DATE(YEAR(A238),MONTH(A238),1))</f>
        <v/>
      </c>
    </row>
    <row r="239" customFormat="false" ht="15" hidden="false" customHeight="false" outlineLevel="0" collapsed="false">
      <c r="A239" s="31"/>
      <c r="B239" s="29"/>
      <c r="C239" s="29"/>
      <c r="D239" s="29"/>
      <c r="E239" s="39"/>
      <c r="F239" s="29"/>
      <c r="G239" s="38" t="str">
        <f aca="false">IF(A239="","",DATE(YEAR(A239),MONTH(A239),1))</f>
        <v/>
      </c>
    </row>
    <row r="240" customFormat="false" ht="15" hidden="false" customHeight="false" outlineLevel="0" collapsed="false">
      <c r="A240" s="31"/>
      <c r="B240" s="29"/>
      <c r="C240" s="29"/>
      <c r="D240" s="29"/>
      <c r="E240" s="39"/>
      <c r="F240" s="29"/>
      <c r="G240" s="38" t="str">
        <f aca="false">IF(A240="","",DATE(YEAR(A240),MONTH(A240),1))</f>
        <v/>
      </c>
    </row>
    <row r="241" customFormat="false" ht="15" hidden="false" customHeight="false" outlineLevel="0" collapsed="false">
      <c r="A241" s="31"/>
      <c r="B241" s="29"/>
      <c r="C241" s="29"/>
      <c r="D241" s="29"/>
      <c r="E241" s="39"/>
      <c r="F241" s="29"/>
      <c r="G241" s="38" t="str">
        <f aca="false">IF(A241="","",DATE(YEAR(A241),MONTH(A241),1))</f>
        <v/>
      </c>
    </row>
    <row r="242" customFormat="false" ht="15" hidden="false" customHeight="false" outlineLevel="0" collapsed="false">
      <c r="A242" s="31"/>
      <c r="B242" s="29"/>
      <c r="C242" s="29"/>
      <c r="D242" s="29"/>
      <c r="E242" s="39"/>
      <c r="F242" s="29"/>
      <c r="G242" s="38" t="str">
        <f aca="false">IF(A242="","",DATE(YEAR(A242),MONTH(A242),1))</f>
        <v/>
      </c>
    </row>
    <row r="243" customFormat="false" ht="15" hidden="false" customHeight="false" outlineLevel="0" collapsed="false">
      <c r="A243" s="31"/>
      <c r="B243" s="29"/>
      <c r="C243" s="29"/>
      <c r="D243" s="29"/>
      <c r="E243" s="39"/>
      <c r="F243" s="29"/>
      <c r="G243" s="38" t="str">
        <f aca="false">IF(A243="","",DATE(YEAR(A243),MONTH(A243),1))</f>
        <v/>
      </c>
    </row>
    <row r="244" customFormat="false" ht="15" hidden="false" customHeight="false" outlineLevel="0" collapsed="false">
      <c r="A244" s="31"/>
      <c r="B244" s="29"/>
      <c r="C244" s="29"/>
      <c r="D244" s="29"/>
      <c r="E244" s="39"/>
      <c r="F244" s="29"/>
      <c r="G244" s="38" t="str">
        <f aca="false">IF(A244="","",DATE(YEAR(A244),MONTH(A244),1))</f>
        <v/>
      </c>
    </row>
    <row r="245" customFormat="false" ht="15" hidden="false" customHeight="false" outlineLevel="0" collapsed="false">
      <c r="A245" s="31"/>
      <c r="B245" s="29"/>
      <c r="C245" s="29"/>
      <c r="D245" s="29"/>
      <c r="E245" s="39"/>
      <c r="F245" s="29"/>
      <c r="G245" s="38" t="str">
        <f aca="false">IF(A245="","",DATE(YEAR(A245),MONTH(A245),1))</f>
        <v/>
      </c>
    </row>
    <row r="246" customFormat="false" ht="15" hidden="false" customHeight="false" outlineLevel="0" collapsed="false">
      <c r="A246" s="31"/>
      <c r="B246" s="29"/>
      <c r="C246" s="29"/>
      <c r="D246" s="29"/>
      <c r="E246" s="39"/>
      <c r="F246" s="29"/>
      <c r="G246" s="38" t="str">
        <f aca="false">IF(A246="","",DATE(YEAR(A246),MONTH(A246),1))</f>
        <v/>
      </c>
    </row>
    <row r="247" customFormat="false" ht="15" hidden="false" customHeight="false" outlineLevel="0" collapsed="false">
      <c r="A247" s="31"/>
      <c r="B247" s="29"/>
      <c r="C247" s="29"/>
      <c r="D247" s="29"/>
      <c r="E247" s="39"/>
      <c r="F247" s="29"/>
      <c r="G247" s="38" t="str">
        <f aca="false">IF(A247="","",DATE(YEAR(A247),MONTH(A247),1))</f>
        <v/>
      </c>
    </row>
    <row r="248" customFormat="false" ht="15" hidden="false" customHeight="false" outlineLevel="0" collapsed="false">
      <c r="A248" s="31"/>
      <c r="B248" s="29"/>
      <c r="C248" s="29"/>
      <c r="D248" s="29"/>
      <c r="E248" s="39"/>
      <c r="F248" s="29"/>
      <c r="G248" s="38" t="str">
        <f aca="false">IF(A248="","",DATE(YEAR(A248),MONTH(A248),1))</f>
        <v/>
      </c>
    </row>
    <row r="249" customFormat="false" ht="15" hidden="false" customHeight="false" outlineLevel="0" collapsed="false">
      <c r="A249" s="31"/>
      <c r="B249" s="29"/>
      <c r="C249" s="29"/>
      <c r="D249" s="29"/>
      <c r="E249" s="39"/>
      <c r="F249" s="29"/>
      <c r="G249" s="38" t="str">
        <f aca="false">IF(A249="","",DATE(YEAR(A249),MONTH(A249),1))</f>
        <v/>
      </c>
    </row>
    <row r="250" customFormat="false" ht="15" hidden="false" customHeight="false" outlineLevel="0" collapsed="false">
      <c r="A250" s="31"/>
      <c r="B250" s="29"/>
      <c r="C250" s="29"/>
      <c r="D250" s="29"/>
      <c r="E250" s="39"/>
      <c r="F250" s="29"/>
      <c r="G250" s="38" t="str">
        <f aca="false">IF(A250="","",DATE(YEAR(A250),MONTH(A250),1))</f>
        <v/>
      </c>
    </row>
    <row r="251" customFormat="false" ht="15" hidden="false" customHeight="false" outlineLevel="0" collapsed="false">
      <c r="A251" s="31"/>
      <c r="B251" s="29"/>
      <c r="C251" s="29"/>
      <c r="D251" s="29"/>
      <c r="E251" s="39"/>
      <c r="F251" s="29"/>
      <c r="G251" s="38" t="str">
        <f aca="false">IF(A251="","",DATE(YEAR(A251),MONTH(A251),1))</f>
        <v/>
      </c>
    </row>
    <row r="252" customFormat="false" ht="15" hidden="false" customHeight="false" outlineLevel="0" collapsed="false">
      <c r="A252" s="31"/>
      <c r="B252" s="29"/>
      <c r="C252" s="29"/>
      <c r="D252" s="29"/>
      <c r="E252" s="39"/>
      <c r="F252" s="29"/>
      <c r="G252" s="38" t="str">
        <f aca="false">IF(A252="","",DATE(YEAR(A252),MONTH(A252),1))</f>
        <v/>
      </c>
    </row>
    <row r="253" customFormat="false" ht="15" hidden="false" customHeight="false" outlineLevel="0" collapsed="false">
      <c r="A253" s="31"/>
      <c r="B253" s="29"/>
      <c r="C253" s="29"/>
      <c r="D253" s="29"/>
      <c r="E253" s="39"/>
      <c r="F253" s="29"/>
      <c r="G253" s="38" t="str">
        <f aca="false">IF(A253="","",DATE(YEAR(A253),MONTH(A253),1))</f>
        <v/>
      </c>
    </row>
    <row r="254" customFormat="false" ht="15" hidden="false" customHeight="false" outlineLevel="0" collapsed="false">
      <c r="A254" s="31"/>
      <c r="B254" s="29"/>
      <c r="C254" s="29"/>
      <c r="D254" s="29"/>
      <c r="E254" s="39"/>
      <c r="F254" s="29"/>
      <c r="G254" s="38" t="str">
        <f aca="false">IF(A254="","",DATE(YEAR(A254),MONTH(A254),1))</f>
        <v/>
      </c>
    </row>
    <row r="255" customFormat="false" ht="15" hidden="false" customHeight="false" outlineLevel="0" collapsed="false">
      <c r="A255" s="31"/>
      <c r="B255" s="29"/>
      <c r="C255" s="29"/>
      <c r="D255" s="29"/>
      <c r="E255" s="39"/>
      <c r="F255" s="29"/>
      <c r="G255" s="38" t="str">
        <f aca="false">IF(A255="","",DATE(YEAR(A255),MONTH(A255),1))</f>
        <v/>
      </c>
    </row>
    <row r="256" customFormat="false" ht="15" hidden="false" customHeight="false" outlineLevel="0" collapsed="false">
      <c r="A256" s="31"/>
      <c r="B256" s="29"/>
      <c r="C256" s="29"/>
      <c r="D256" s="29"/>
      <c r="E256" s="39"/>
      <c r="F256" s="29"/>
      <c r="G256" s="38" t="str">
        <f aca="false">IF(A256="","",DATE(YEAR(A256),MONTH(A256),1))</f>
        <v/>
      </c>
    </row>
    <row r="257" customFormat="false" ht="15" hidden="false" customHeight="false" outlineLevel="0" collapsed="false">
      <c r="A257" s="31"/>
      <c r="B257" s="29"/>
      <c r="C257" s="29"/>
      <c r="D257" s="29"/>
      <c r="E257" s="39"/>
      <c r="F257" s="29"/>
      <c r="G257" s="38" t="str">
        <f aca="false">IF(A257="","",DATE(YEAR(A257),MONTH(A257),1))</f>
        <v/>
      </c>
    </row>
    <row r="258" customFormat="false" ht="15" hidden="false" customHeight="false" outlineLevel="0" collapsed="false">
      <c r="A258" s="31"/>
      <c r="B258" s="29"/>
      <c r="C258" s="29"/>
      <c r="D258" s="29"/>
      <c r="E258" s="39"/>
      <c r="F258" s="29"/>
      <c r="G258" s="38" t="str">
        <f aca="false">IF(A258="","",DATE(YEAR(A258),MONTH(A258),1))</f>
        <v/>
      </c>
    </row>
    <row r="259" customFormat="false" ht="15" hidden="false" customHeight="false" outlineLevel="0" collapsed="false">
      <c r="A259" s="31"/>
      <c r="B259" s="29"/>
      <c r="C259" s="29"/>
      <c r="D259" s="29"/>
      <c r="E259" s="39"/>
      <c r="F259" s="29"/>
      <c r="G259" s="38" t="str">
        <f aca="false">IF(A259="","",DATE(YEAR(A259),MONTH(A259),1))</f>
        <v/>
      </c>
    </row>
    <row r="260" customFormat="false" ht="15" hidden="false" customHeight="false" outlineLevel="0" collapsed="false">
      <c r="A260" s="31"/>
      <c r="B260" s="29"/>
      <c r="C260" s="29"/>
      <c r="D260" s="29"/>
      <c r="E260" s="39"/>
      <c r="F260" s="29"/>
      <c r="G260" s="38" t="str">
        <f aca="false">IF(A260="","",DATE(YEAR(A260),MONTH(A260),1))</f>
        <v/>
      </c>
    </row>
    <row r="261" customFormat="false" ht="15" hidden="false" customHeight="false" outlineLevel="0" collapsed="false">
      <c r="A261" s="31"/>
      <c r="B261" s="29"/>
      <c r="C261" s="29"/>
      <c r="D261" s="29"/>
      <c r="E261" s="39"/>
      <c r="F261" s="29"/>
      <c r="G261" s="38" t="str">
        <f aca="false">IF(A261="","",DATE(YEAR(A261),MONTH(A261),1))</f>
        <v/>
      </c>
    </row>
    <row r="262" customFormat="false" ht="15" hidden="false" customHeight="false" outlineLevel="0" collapsed="false">
      <c r="A262" s="31"/>
      <c r="B262" s="29"/>
      <c r="C262" s="29"/>
      <c r="D262" s="29"/>
      <c r="E262" s="39"/>
      <c r="F262" s="29"/>
      <c r="G262" s="38" t="str">
        <f aca="false">IF(A262="","",DATE(YEAR(A262),MONTH(A262),1))</f>
        <v/>
      </c>
    </row>
    <row r="263" customFormat="false" ht="15" hidden="false" customHeight="false" outlineLevel="0" collapsed="false">
      <c r="A263" s="31"/>
      <c r="B263" s="29"/>
      <c r="C263" s="29"/>
      <c r="D263" s="29"/>
      <c r="E263" s="39"/>
      <c r="F263" s="29"/>
      <c r="G263" s="38" t="str">
        <f aca="false">IF(A263="","",DATE(YEAR(A263),MONTH(A263),1))</f>
        <v/>
      </c>
    </row>
    <row r="264" customFormat="false" ht="15" hidden="false" customHeight="false" outlineLevel="0" collapsed="false">
      <c r="A264" s="31"/>
      <c r="B264" s="29"/>
      <c r="C264" s="29"/>
      <c r="D264" s="29"/>
      <c r="E264" s="39"/>
      <c r="F264" s="29"/>
      <c r="G264" s="38" t="str">
        <f aca="false">IF(A264="","",DATE(YEAR(A264),MONTH(A264),1))</f>
        <v/>
      </c>
    </row>
    <row r="265" customFormat="false" ht="15" hidden="false" customHeight="false" outlineLevel="0" collapsed="false">
      <c r="A265" s="31"/>
      <c r="B265" s="29"/>
      <c r="C265" s="29"/>
      <c r="D265" s="29"/>
      <c r="E265" s="39"/>
      <c r="F265" s="29"/>
      <c r="G265" s="38" t="str">
        <f aca="false">IF(A265="","",DATE(YEAR(A265),MONTH(A265),1))</f>
        <v/>
      </c>
    </row>
    <row r="266" customFormat="false" ht="15" hidden="false" customHeight="false" outlineLevel="0" collapsed="false">
      <c r="A266" s="31"/>
      <c r="B266" s="29"/>
      <c r="C266" s="29"/>
      <c r="D266" s="29"/>
      <c r="E266" s="39"/>
      <c r="F266" s="29"/>
      <c r="G266" s="38" t="str">
        <f aca="false">IF(A266="","",DATE(YEAR(A266),MONTH(A266),1))</f>
        <v/>
      </c>
    </row>
    <row r="267" customFormat="false" ht="15" hidden="false" customHeight="false" outlineLevel="0" collapsed="false">
      <c r="A267" s="31"/>
      <c r="B267" s="29"/>
      <c r="C267" s="29"/>
      <c r="D267" s="29"/>
      <c r="E267" s="39"/>
      <c r="F267" s="29"/>
      <c r="G267" s="38" t="str">
        <f aca="false">IF(A267="","",DATE(YEAR(A267),MONTH(A267),1))</f>
        <v/>
      </c>
    </row>
    <row r="268" customFormat="false" ht="15" hidden="false" customHeight="false" outlineLevel="0" collapsed="false">
      <c r="A268" s="31"/>
      <c r="B268" s="29"/>
      <c r="C268" s="29"/>
      <c r="D268" s="29"/>
      <c r="E268" s="39"/>
      <c r="F268" s="29"/>
      <c r="G268" s="38" t="str">
        <f aca="false">IF(A268="","",DATE(YEAR(A268),MONTH(A268),1))</f>
        <v/>
      </c>
    </row>
    <row r="269" customFormat="false" ht="15" hidden="false" customHeight="false" outlineLevel="0" collapsed="false">
      <c r="A269" s="31"/>
      <c r="B269" s="29"/>
      <c r="C269" s="29"/>
      <c r="D269" s="29"/>
      <c r="E269" s="39"/>
      <c r="F269" s="29"/>
      <c r="G269" s="38" t="str">
        <f aca="false">IF(A269="","",DATE(YEAR(A269),MONTH(A269),1))</f>
        <v/>
      </c>
    </row>
    <row r="270" customFormat="false" ht="15" hidden="false" customHeight="false" outlineLevel="0" collapsed="false">
      <c r="A270" s="31"/>
      <c r="B270" s="29"/>
      <c r="C270" s="29"/>
      <c r="D270" s="29"/>
      <c r="E270" s="39"/>
      <c r="F270" s="29"/>
      <c r="G270" s="38" t="str">
        <f aca="false">IF(A270="","",DATE(YEAR(A270),MONTH(A270),1))</f>
        <v/>
      </c>
    </row>
    <row r="271" customFormat="false" ht="15" hidden="false" customHeight="false" outlineLevel="0" collapsed="false">
      <c r="A271" s="31"/>
      <c r="B271" s="29"/>
      <c r="C271" s="29"/>
      <c r="D271" s="29"/>
      <c r="E271" s="39"/>
      <c r="F271" s="29"/>
      <c r="G271" s="38" t="str">
        <f aca="false">IF(A271="","",DATE(YEAR(A271),MONTH(A271),1))</f>
        <v/>
      </c>
    </row>
    <row r="272" customFormat="false" ht="15" hidden="false" customHeight="false" outlineLevel="0" collapsed="false">
      <c r="A272" s="31"/>
      <c r="B272" s="29"/>
      <c r="C272" s="29"/>
      <c r="D272" s="29"/>
      <c r="E272" s="39"/>
      <c r="F272" s="29"/>
      <c r="G272" s="38" t="str">
        <f aca="false">IF(A272="","",DATE(YEAR(A272),MONTH(A272),1))</f>
        <v/>
      </c>
    </row>
    <row r="273" customFormat="false" ht="15" hidden="false" customHeight="false" outlineLevel="0" collapsed="false">
      <c r="A273" s="31"/>
      <c r="B273" s="29"/>
      <c r="C273" s="29"/>
      <c r="D273" s="29"/>
      <c r="E273" s="39"/>
      <c r="F273" s="29"/>
      <c r="G273" s="38" t="str">
        <f aca="false">IF(A273="","",DATE(YEAR(A273),MONTH(A273),1))</f>
        <v/>
      </c>
    </row>
    <row r="274" customFormat="false" ht="15" hidden="false" customHeight="false" outlineLevel="0" collapsed="false">
      <c r="A274" s="31"/>
      <c r="B274" s="29"/>
      <c r="C274" s="29"/>
      <c r="D274" s="29"/>
      <c r="E274" s="39"/>
      <c r="F274" s="29"/>
      <c r="G274" s="38" t="str">
        <f aca="false">IF(A274="","",DATE(YEAR(A274),MONTH(A274),1))</f>
        <v/>
      </c>
    </row>
    <row r="275" customFormat="false" ht="15" hidden="false" customHeight="false" outlineLevel="0" collapsed="false">
      <c r="A275" s="31"/>
      <c r="B275" s="29"/>
      <c r="C275" s="29"/>
      <c r="D275" s="29"/>
      <c r="E275" s="39"/>
      <c r="F275" s="29"/>
      <c r="G275" s="38" t="str">
        <f aca="false">IF(A275="","",DATE(YEAR(A275),MONTH(A275),1))</f>
        <v/>
      </c>
    </row>
    <row r="276" customFormat="false" ht="15" hidden="false" customHeight="false" outlineLevel="0" collapsed="false">
      <c r="A276" s="31"/>
      <c r="B276" s="29"/>
      <c r="C276" s="29"/>
      <c r="D276" s="29"/>
      <c r="E276" s="39"/>
      <c r="F276" s="29"/>
      <c r="G276" s="38" t="str">
        <f aca="false">IF(A276="","",DATE(YEAR(A276),MONTH(A276),1))</f>
        <v/>
      </c>
    </row>
    <row r="277" customFormat="false" ht="15" hidden="false" customHeight="false" outlineLevel="0" collapsed="false">
      <c r="A277" s="31"/>
      <c r="B277" s="29"/>
      <c r="C277" s="29"/>
      <c r="D277" s="29"/>
      <c r="E277" s="39"/>
      <c r="F277" s="29"/>
      <c r="G277" s="38" t="str">
        <f aca="false">IF(A277="","",DATE(YEAR(A277),MONTH(A277),1))</f>
        <v/>
      </c>
    </row>
    <row r="278" customFormat="false" ht="15" hidden="false" customHeight="false" outlineLevel="0" collapsed="false">
      <c r="A278" s="31"/>
      <c r="B278" s="29"/>
      <c r="C278" s="29"/>
      <c r="D278" s="29"/>
      <c r="E278" s="39"/>
      <c r="F278" s="29"/>
      <c r="G278" s="38" t="str">
        <f aca="false">IF(A278="","",DATE(YEAR(A278),MONTH(A278),1))</f>
        <v/>
      </c>
    </row>
    <row r="279" customFormat="false" ht="15" hidden="false" customHeight="false" outlineLevel="0" collapsed="false">
      <c r="A279" s="31"/>
      <c r="B279" s="29"/>
      <c r="C279" s="29"/>
      <c r="D279" s="29"/>
      <c r="E279" s="39"/>
      <c r="F279" s="29"/>
      <c r="G279" s="38" t="str">
        <f aca="false">IF(A279="","",DATE(YEAR(A279),MONTH(A279),1))</f>
        <v/>
      </c>
    </row>
    <row r="280" customFormat="false" ht="15" hidden="false" customHeight="false" outlineLevel="0" collapsed="false">
      <c r="A280" s="31"/>
      <c r="B280" s="29"/>
      <c r="C280" s="29"/>
      <c r="D280" s="29"/>
      <c r="E280" s="39"/>
      <c r="F280" s="29"/>
      <c r="G280" s="38" t="str">
        <f aca="false">IF(A280="","",DATE(YEAR(A280),MONTH(A280),1))</f>
        <v/>
      </c>
    </row>
    <row r="281" customFormat="false" ht="15" hidden="false" customHeight="false" outlineLevel="0" collapsed="false">
      <c r="A281" s="31"/>
      <c r="B281" s="29"/>
      <c r="C281" s="29"/>
      <c r="D281" s="29"/>
      <c r="E281" s="39"/>
      <c r="F281" s="29"/>
      <c r="G281" s="38" t="str">
        <f aca="false">IF(A281="","",DATE(YEAR(A281),MONTH(A281),1))</f>
        <v/>
      </c>
    </row>
    <row r="282" customFormat="false" ht="15" hidden="false" customHeight="false" outlineLevel="0" collapsed="false">
      <c r="A282" s="31"/>
      <c r="B282" s="29"/>
      <c r="C282" s="29"/>
      <c r="D282" s="29"/>
      <c r="E282" s="39"/>
      <c r="F282" s="29"/>
      <c r="G282" s="38" t="str">
        <f aca="false">IF(A282="","",DATE(YEAR(A282),MONTH(A282),1))</f>
        <v/>
      </c>
    </row>
    <row r="283" customFormat="false" ht="15" hidden="false" customHeight="false" outlineLevel="0" collapsed="false">
      <c r="A283" s="31"/>
      <c r="B283" s="29"/>
      <c r="C283" s="29"/>
      <c r="D283" s="29"/>
      <c r="E283" s="39"/>
      <c r="F283" s="29"/>
      <c r="G283" s="38" t="str">
        <f aca="false">IF(A283="","",DATE(YEAR(A283),MONTH(A283),1))</f>
        <v/>
      </c>
    </row>
    <row r="284" customFormat="false" ht="15" hidden="false" customHeight="false" outlineLevel="0" collapsed="false">
      <c r="A284" s="31"/>
      <c r="B284" s="29"/>
      <c r="C284" s="29"/>
      <c r="D284" s="29"/>
      <c r="E284" s="39"/>
      <c r="F284" s="29"/>
      <c r="G284" s="38" t="str">
        <f aca="false">IF(A284="","",DATE(YEAR(A284),MONTH(A284),1))</f>
        <v/>
      </c>
    </row>
    <row r="285" customFormat="false" ht="15" hidden="false" customHeight="false" outlineLevel="0" collapsed="false">
      <c r="A285" s="31"/>
      <c r="B285" s="29"/>
      <c r="C285" s="29"/>
      <c r="D285" s="29"/>
      <c r="E285" s="39"/>
      <c r="F285" s="29"/>
      <c r="G285" s="38" t="str">
        <f aca="false">IF(A285="","",DATE(YEAR(A285),MONTH(A285),1))</f>
        <v/>
      </c>
    </row>
    <row r="286" customFormat="false" ht="15" hidden="false" customHeight="false" outlineLevel="0" collapsed="false">
      <c r="A286" s="31"/>
      <c r="B286" s="29"/>
      <c r="C286" s="29"/>
      <c r="D286" s="29"/>
      <c r="E286" s="39"/>
      <c r="F286" s="29"/>
      <c r="G286" s="38" t="str">
        <f aca="false">IF(A286="","",DATE(YEAR(A286),MONTH(A286),1))</f>
        <v/>
      </c>
    </row>
    <row r="287" customFormat="false" ht="15" hidden="false" customHeight="false" outlineLevel="0" collapsed="false">
      <c r="A287" s="31"/>
      <c r="B287" s="29"/>
      <c r="C287" s="29"/>
      <c r="D287" s="29"/>
      <c r="E287" s="39"/>
      <c r="F287" s="29"/>
      <c r="G287" s="38" t="str">
        <f aca="false">IF(A287="","",DATE(YEAR(A287),MONTH(A287),1))</f>
        <v/>
      </c>
    </row>
    <row r="288" customFormat="false" ht="15" hidden="false" customHeight="false" outlineLevel="0" collapsed="false">
      <c r="A288" s="31"/>
      <c r="B288" s="29"/>
      <c r="C288" s="29"/>
      <c r="D288" s="29"/>
      <c r="E288" s="39"/>
      <c r="F288" s="29"/>
      <c r="G288" s="38" t="str">
        <f aca="false">IF(A288="","",DATE(YEAR(A288),MONTH(A288),1))</f>
        <v/>
      </c>
    </row>
    <row r="289" customFormat="false" ht="15" hidden="false" customHeight="false" outlineLevel="0" collapsed="false">
      <c r="A289" s="31"/>
      <c r="B289" s="29"/>
      <c r="C289" s="29"/>
      <c r="D289" s="29"/>
      <c r="E289" s="39"/>
      <c r="F289" s="29"/>
      <c r="G289" s="38" t="str">
        <f aca="false">IF(A289="","",DATE(YEAR(A289),MONTH(A289),1))</f>
        <v/>
      </c>
    </row>
    <row r="290" customFormat="false" ht="15" hidden="false" customHeight="false" outlineLevel="0" collapsed="false">
      <c r="A290" s="31"/>
      <c r="B290" s="29"/>
      <c r="C290" s="29"/>
      <c r="D290" s="29"/>
      <c r="E290" s="39"/>
      <c r="F290" s="29"/>
      <c r="G290" s="38" t="str">
        <f aca="false">IF(A290="","",DATE(YEAR(A290),MONTH(A290),1))</f>
        <v/>
      </c>
    </row>
    <row r="291" customFormat="false" ht="15" hidden="false" customHeight="false" outlineLevel="0" collapsed="false">
      <c r="A291" s="31"/>
      <c r="B291" s="29"/>
      <c r="C291" s="29"/>
      <c r="D291" s="29"/>
      <c r="E291" s="39"/>
      <c r="F291" s="29"/>
      <c r="G291" s="38" t="str">
        <f aca="false">IF(A291="","",DATE(YEAR(A291),MONTH(A291),1))</f>
        <v/>
      </c>
    </row>
    <row r="292" customFormat="false" ht="15" hidden="false" customHeight="false" outlineLevel="0" collapsed="false">
      <c r="A292" s="31"/>
      <c r="B292" s="29"/>
      <c r="C292" s="29"/>
      <c r="D292" s="29"/>
      <c r="E292" s="39"/>
      <c r="F292" s="29"/>
      <c r="G292" s="38" t="str">
        <f aca="false">IF(A292="","",DATE(YEAR(A292),MONTH(A292),1))</f>
        <v/>
      </c>
    </row>
    <row r="293" customFormat="false" ht="15" hidden="false" customHeight="false" outlineLevel="0" collapsed="false">
      <c r="A293" s="31"/>
      <c r="B293" s="29"/>
      <c r="C293" s="29"/>
      <c r="D293" s="29"/>
      <c r="E293" s="39"/>
      <c r="F293" s="29"/>
      <c r="G293" s="38" t="str">
        <f aca="false">IF(A293="","",DATE(YEAR(A293),MONTH(A293),1))</f>
        <v/>
      </c>
    </row>
    <row r="294" customFormat="false" ht="15" hidden="false" customHeight="false" outlineLevel="0" collapsed="false">
      <c r="A294" s="31"/>
      <c r="B294" s="29"/>
      <c r="C294" s="29"/>
      <c r="D294" s="29"/>
      <c r="E294" s="39"/>
      <c r="F294" s="29"/>
      <c r="G294" s="38" t="str">
        <f aca="false">IF(A294="","",DATE(YEAR(A294),MONTH(A294),1))</f>
        <v/>
      </c>
    </row>
    <row r="295" customFormat="false" ht="15" hidden="false" customHeight="false" outlineLevel="0" collapsed="false">
      <c r="A295" s="31"/>
      <c r="B295" s="29"/>
      <c r="C295" s="29"/>
      <c r="D295" s="29"/>
      <c r="E295" s="39"/>
      <c r="F295" s="29"/>
      <c r="G295" s="38" t="str">
        <f aca="false">IF(A295="","",DATE(YEAR(A295),MONTH(A295),1))</f>
        <v/>
      </c>
    </row>
    <row r="296" customFormat="false" ht="15" hidden="false" customHeight="false" outlineLevel="0" collapsed="false">
      <c r="A296" s="31"/>
      <c r="B296" s="29"/>
      <c r="C296" s="29"/>
      <c r="D296" s="29"/>
      <c r="E296" s="39"/>
      <c r="F296" s="29"/>
      <c r="G296" s="38" t="str">
        <f aca="false">IF(A296="","",DATE(YEAR(A296),MONTH(A296),1))</f>
        <v/>
      </c>
    </row>
    <row r="297" customFormat="false" ht="15" hidden="false" customHeight="false" outlineLevel="0" collapsed="false">
      <c r="A297" s="31"/>
      <c r="B297" s="29"/>
      <c r="C297" s="29"/>
      <c r="D297" s="29"/>
      <c r="E297" s="39"/>
      <c r="F297" s="29"/>
      <c r="G297" s="38" t="str">
        <f aca="false">IF(A297="","",DATE(YEAR(A297),MONTH(A297),1))</f>
        <v/>
      </c>
    </row>
    <row r="298" customFormat="false" ht="15" hidden="false" customHeight="false" outlineLevel="0" collapsed="false">
      <c r="A298" s="31"/>
      <c r="B298" s="29"/>
      <c r="C298" s="29"/>
      <c r="D298" s="29"/>
      <c r="E298" s="39"/>
      <c r="F298" s="29"/>
      <c r="G298" s="38" t="str">
        <f aca="false">IF(A298="","",DATE(YEAR(A298),MONTH(A298),1))</f>
        <v/>
      </c>
    </row>
    <row r="299" customFormat="false" ht="15" hidden="false" customHeight="false" outlineLevel="0" collapsed="false">
      <c r="A299" s="31"/>
      <c r="B299" s="29"/>
      <c r="C299" s="29"/>
      <c r="D299" s="29"/>
      <c r="E299" s="39"/>
      <c r="F299" s="29"/>
      <c r="G299" s="38" t="str">
        <f aca="false">IF(A299="","",DATE(YEAR(A299),MONTH(A299),1))</f>
        <v/>
      </c>
    </row>
    <row r="300" customFormat="false" ht="15" hidden="false" customHeight="false" outlineLevel="0" collapsed="false">
      <c r="A300" s="31"/>
      <c r="B300" s="29"/>
      <c r="C300" s="29"/>
      <c r="D300" s="29"/>
      <c r="E300" s="39"/>
      <c r="F300" s="29"/>
      <c r="G300" s="38" t="str">
        <f aca="false">IF(A300="","",DATE(YEAR(A300),MONTH(A300),1))</f>
        <v/>
      </c>
    </row>
    <row r="301" customFormat="false" ht="15" hidden="false" customHeight="false" outlineLevel="0" collapsed="false">
      <c r="A301" s="31"/>
      <c r="B301" s="29"/>
      <c r="C301" s="29"/>
      <c r="D301" s="29"/>
      <c r="E301" s="39"/>
      <c r="F301" s="29"/>
      <c r="G301" s="38" t="str">
        <f aca="false">IF(A301="","",DATE(YEAR(A301),MONTH(A301),1))</f>
        <v/>
      </c>
    </row>
    <row r="302" customFormat="false" ht="15" hidden="false" customHeight="false" outlineLevel="0" collapsed="false">
      <c r="A302" s="31"/>
      <c r="B302" s="29"/>
      <c r="C302" s="29"/>
      <c r="D302" s="29"/>
      <c r="E302" s="39"/>
      <c r="F302" s="29"/>
      <c r="G302" s="38" t="str">
        <f aca="false">IF(A302="","",DATE(YEAR(A302),MONTH(A302),1))</f>
        <v/>
      </c>
    </row>
    <row r="303" customFormat="false" ht="15" hidden="false" customHeight="false" outlineLevel="0" collapsed="false">
      <c r="A303" s="31"/>
      <c r="B303" s="29"/>
      <c r="C303" s="29"/>
      <c r="D303" s="29"/>
      <c r="E303" s="39"/>
      <c r="F303" s="29"/>
      <c r="G303" s="38" t="str">
        <f aca="false">IF(A303="","",DATE(YEAR(A303),MONTH(A303),1))</f>
        <v/>
      </c>
    </row>
    <row r="304" customFormat="false" ht="15" hidden="false" customHeight="false" outlineLevel="0" collapsed="false">
      <c r="A304" s="31"/>
      <c r="B304" s="29"/>
      <c r="C304" s="29"/>
      <c r="D304" s="29"/>
      <c r="E304" s="39"/>
      <c r="F304" s="29"/>
      <c r="G304" s="38" t="str">
        <f aca="false">IF(A304="","",DATE(YEAR(A304),MONTH(A304),1))</f>
        <v/>
      </c>
    </row>
    <row r="305" customFormat="false" ht="15" hidden="false" customHeight="false" outlineLevel="0" collapsed="false">
      <c r="A305" s="31"/>
      <c r="B305" s="29"/>
      <c r="C305" s="29"/>
      <c r="D305" s="29"/>
      <c r="E305" s="39"/>
      <c r="F305" s="29"/>
      <c r="G305" s="38" t="str">
        <f aca="false">IF(A305="","",DATE(YEAR(A305),MONTH(A305),1))</f>
        <v/>
      </c>
    </row>
    <row r="306" customFormat="false" ht="15" hidden="false" customHeight="false" outlineLevel="0" collapsed="false">
      <c r="A306" s="31"/>
      <c r="B306" s="29"/>
      <c r="C306" s="29"/>
      <c r="D306" s="29"/>
      <c r="E306" s="39"/>
      <c r="F306" s="29"/>
      <c r="G306" s="38" t="str">
        <f aca="false">IF(A306="","",DATE(YEAR(A306),MONTH(A306),1))</f>
        <v/>
      </c>
    </row>
    <row r="307" customFormat="false" ht="15" hidden="false" customHeight="false" outlineLevel="0" collapsed="false">
      <c r="A307" s="31"/>
      <c r="B307" s="29"/>
      <c r="C307" s="29"/>
      <c r="D307" s="29"/>
      <c r="E307" s="39"/>
      <c r="F307" s="29"/>
      <c r="G307" s="38" t="str">
        <f aca="false">IF(A307="","",DATE(YEAR(A307),MONTH(A307),1))</f>
        <v/>
      </c>
    </row>
    <row r="308" customFormat="false" ht="15" hidden="false" customHeight="false" outlineLevel="0" collapsed="false">
      <c r="A308" s="31"/>
      <c r="B308" s="29"/>
      <c r="C308" s="29"/>
      <c r="D308" s="29"/>
      <c r="E308" s="39"/>
      <c r="F308" s="29"/>
      <c r="G308" s="38" t="str">
        <f aca="false">IF(A308="","",DATE(YEAR(A308),MONTH(A308),1))</f>
        <v/>
      </c>
    </row>
    <row r="309" customFormat="false" ht="15" hidden="false" customHeight="false" outlineLevel="0" collapsed="false">
      <c r="A309" s="31"/>
      <c r="B309" s="29"/>
      <c r="C309" s="29"/>
      <c r="D309" s="29"/>
      <c r="E309" s="39"/>
      <c r="F309" s="29"/>
      <c r="G309" s="38" t="str">
        <f aca="false">IF(A309="","",DATE(YEAR(A309),MONTH(A309),1))</f>
        <v/>
      </c>
    </row>
    <row r="310" customFormat="false" ht="15" hidden="false" customHeight="false" outlineLevel="0" collapsed="false">
      <c r="A310" s="31"/>
      <c r="B310" s="29"/>
      <c r="C310" s="29"/>
      <c r="D310" s="29"/>
      <c r="E310" s="39"/>
      <c r="F310" s="29"/>
      <c r="G310" s="38" t="str">
        <f aca="false">IF(A310="","",DATE(YEAR(A310),MONTH(A310),1))</f>
        <v/>
      </c>
    </row>
    <row r="311" customFormat="false" ht="15" hidden="false" customHeight="false" outlineLevel="0" collapsed="false">
      <c r="A311" s="31"/>
      <c r="B311" s="29"/>
      <c r="C311" s="29"/>
      <c r="D311" s="29"/>
      <c r="E311" s="39"/>
      <c r="F311" s="29"/>
      <c r="G311" s="38" t="str">
        <f aca="false">IF(A311="","",DATE(YEAR(A311),MONTH(A311),1))</f>
        <v/>
      </c>
    </row>
    <row r="312" customFormat="false" ht="15" hidden="false" customHeight="false" outlineLevel="0" collapsed="false">
      <c r="A312" s="31"/>
      <c r="B312" s="29"/>
      <c r="C312" s="29"/>
      <c r="D312" s="29"/>
      <c r="E312" s="39"/>
      <c r="F312" s="29"/>
      <c r="G312" s="38" t="str">
        <f aca="false">IF(A312="","",DATE(YEAR(A312),MONTH(A312),1))</f>
        <v/>
      </c>
    </row>
    <row r="313" customFormat="false" ht="15" hidden="false" customHeight="false" outlineLevel="0" collapsed="false">
      <c r="A313" s="31"/>
      <c r="B313" s="29"/>
      <c r="C313" s="29"/>
      <c r="D313" s="29"/>
      <c r="E313" s="39"/>
      <c r="F313" s="29"/>
      <c r="G313" s="38" t="str">
        <f aca="false">IF(A313="","",DATE(YEAR(A313),MONTH(A313),1))</f>
        <v/>
      </c>
    </row>
    <row r="314" customFormat="false" ht="15" hidden="false" customHeight="false" outlineLevel="0" collapsed="false">
      <c r="A314" s="31"/>
      <c r="B314" s="29"/>
      <c r="C314" s="29"/>
      <c r="D314" s="29"/>
      <c r="E314" s="39"/>
      <c r="F314" s="29"/>
      <c r="G314" s="38" t="str">
        <f aca="false">IF(A314="","",DATE(YEAR(A314),MONTH(A314),1))</f>
        <v/>
      </c>
    </row>
    <row r="315" customFormat="false" ht="15" hidden="false" customHeight="false" outlineLevel="0" collapsed="false">
      <c r="A315" s="31"/>
      <c r="B315" s="29"/>
      <c r="C315" s="29"/>
      <c r="D315" s="29"/>
      <c r="E315" s="39"/>
      <c r="F315" s="29"/>
      <c r="G315" s="38" t="str">
        <f aca="false">IF(A315="","",DATE(YEAR(A315),MONTH(A315),1))</f>
        <v/>
      </c>
    </row>
    <row r="316" customFormat="false" ht="15" hidden="false" customHeight="false" outlineLevel="0" collapsed="false">
      <c r="A316" s="31"/>
      <c r="B316" s="29"/>
      <c r="C316" s="29"/>
      <c r="D316" s="29"/>
      <c r="E316" s="39"/>
      <c r="F316" s="29"/>
      <c r="G316" s="38" t="str">
        <f aca="false">IF(A316="","",DATE(YEAR(A316),MONTH(A316),1))</f>
        <v/>
      </c>
    </row>
    <row r="317" customFormat="false" ht="15" hidden="false" customHeight="false" outlineLevel="0" collapsed="false">
      <c r="A317" s="31"/>
      <c r="B317" s="29"/>
      <c r="C317" s="29"/>
      <c r="D317" s="29"/>
      <c r="E317" s="39"/>
      <c r="F317" s="29"/>
      <c r="G317" s="38" t="str">
        <f aca="false">IF(A317="","",DATE(YEAR(A317),MONTH(A317),1))</f>
        <v/>
      </c>
    </row>
    <row r="318" customFormat="false" ht="15" hidden="false" customHeight="false" outlineLevel="0" collapsed="false">
      <c r="A318" s="31"/>
      <c r="B318" s="29"/>
      <c r="C318" s="29"/>
      <c r="D318" s="29"/>
      <c r="E318" s="39"/>
      <c r="F318" s="29"/>
      <c r="G318" s="38" t="str">
        <f aca="false">IF(A318="","",DATE(YEAR(A318),MONTH(A318),1))</f>
        <v/>
      </c>
    </row>
    <row r="319" customFormat="false" ht="15" hidden="false" customHeight="false" outlineLevel="0" collapsed="false">
      <c r="A319" s="31"/>
      <c r="B319" s="29"/>
      <c r="C319" s="29"/>
      <c r="D319" s="29"/>
      <c r="E319" s="39"/>
      <c r="F319" s="29"/>
      <c r="G319" s="38" t="str">
        <f aca="false">IF(A319="","",DATE(YEAR(A319),MONTH(A319),1))</f>
        <v/>
      </c>
    </row>
    <row r="320" customFormat="false" ht="15" hidden="false" customHeight="false" outlineLevel="0" collapsed="false">
      <c r="A320" s="31"/>
      <c r="B320" s="29"/>
      <c r="C320" s="29"/>
      <c r="D320" s="29"/>
      <c r="E320" s="39"/>
      <c r="F320" s="29"/>
      <c r="G320" s="38" t="str">
        <f aca="false">IF(A320="","",DATE(YEAR(A320),MONTH(A320),1))</f>
        <v/>
      </c>
    </row>
    <row r="321" customFormat="false" ht="15" hidden="false" customHeight="false" outlineLevel="0" collapsed="false">
      <c r="A321" s="31"/>
      <c r="B321" s="29"/>
      <c r="C321" s="29"/>
      <c r="D321" s="29"/>
      <c r="E321" s="39"/>
      <c r="F321" s="29"/>
      <c r="G321" s="38" t="str">
        <f aca="false">IF(A321="","",DATE(YEAR(A321),MONTH(A321),1))</f>
        <v/>
      </c>
    </row>
    <row r="322" customFormat="false" ht="15" hidden="false" customHeight="false" outlineLevel="0" collapsed="false">
      <c r="A322" s="31"/>
      <c r="B322" s="29"/>
      <c r="C322" s="29"/>
      <c r="D322" s="29"/>
      <c r="E322" s="39"/>
      <c r="F322" s="29"/>
      <c r="G322" s="38" t="str">
        <f aca="false">IF(A322="","",DATE(YEAR(A322),MONTH(A322),1))</f>
        <v/>
      </c>
    </row>
    <row r="323" customFormat="false" ht="15" hidden="false" customHeight="false" outlineLevel="0" collapsed="false">
      <c r="A323" s="31"/>
      <c r="B323" s="29"/>
      <c r="C323" s="29"/>
      <c r="D323" s="29"/>
      <c r="E323" s="39"/>
      <c r="F323" s="29"/>
      <c r="G323" s="38" t="str">
        <f aca="false">IF(A323="","",DATE(YEAR(A323),MONTH(A323),1))</f>
        <v/>
      </c>
    </row>
    <row r="324" customFormat="false" ht="15" hidden="false" customHeight="false" outlineLevel="0" collapsed="false">
      <c r="A324" s="31"/>
      <c r="B324" s="29"/>
      <c r="C324" s="29"/>
      <c r="D324" s="29"/>
      <c r="E324" s="39"/>
      <c r="F324" s="29"/>
      <c r="G324" s="38" t="str">
        <f aca="false">IF(A324="","",DATE(YEAR(A324),MONTH(A324),1))</f>
        <v/>
      </c>
    </row>
    <row r="325" customFormat="false" ht="15" hidden="false" customHeight="false" outlineLevel="0" collapsed="false">
      <c r="A325" s="31"/>
      <c r="B325" s="29"/>
      <c r="C325" s="29"/>
      <c r="D325" s="29"/>
      <c r="E325" s="39"/>
      <c r="F325" s="29"/>
      <c r="G325" s="38" t="str">
        <f aca="false">IF(A325="","",DATE(YEAR(A325),MONTH(A325),1))</f>
        <v/>
      </c>
    </row>
    <row r="326" customFormat="false" ht="15" hidden="false" customHeight="false" outlineLevel="0" collapsed="false">
      <c r="A326" s="31"/>
      <c r="B326" s="29"/>
      <c r="C326" s="29"/>
      <c r="D326" s="29"/>
      <c r="E326" s="39"/>
      <c r="F326" s="29"/>
      <c r="G326" s="38" t="str">
        <f aca="false">IF(A326="","",DATE(YEAR(A326),MONTH(A326),1))</f>
        <v/>
      </c>
    </row>
    <row r="327" customFormat="false" ht="15" hidden="false" customHeight="false" outlineLevel="0" collapsed="false">
      <c r="A327" s="31"/>
      <c r="B327" s="29"/>
      <c r="C327" s="29"/>
      <c r="D327" s="29"/>
      <c r="E327" s="39"/>
      <c r="F327" s="29"/>
      <c r="G327" s="38" t="str">
        <f aca="false">IF(A327="","",DATE(YEAR(A327),MONTH(A327),1))</f>
        <v/>
      </c>
    </row>
    <row r="328" customFormat="false" ht="15" hidden="false" customHeight="false" outlineLevel="0" collapsed="false">
      <c r="A328" s="31"/>
      <c r="B328" s="29"/>
      <c r="C328" s="29"/>
      <c r="D328" s="29"/>
      <c r="E328" s="39"/>
      <c r="F328" s="29"/>
      <c r="G328" s="38" t="str">
        <f aca="false">IF(A328="","",DATE(YEAR(A328),MONTH(A328),1))</f>
        <v/>
      </c>
    </row>
    <row r="329" customFormat="false" ht="15" hidden="false" customHeight="false" outlineLevel="0" collapsed="false">
      <c r="A329" s="31"/>
      <c r="B329" s="29"/>
      <c r="C329" s="29"/>
      <c r="D329" s="29"/>
      <c r="E329" s="39"/>
      <c r="F329" s="29"/>
      <c r="G329" s="38" t="str">
        <f aca="false">IF(A329="","",DATE(YEAR(A329),MONTH(A329),1))</f>
        <v/>
      </c>
    </row>
    <row r="330" customFormat="false" ht="15" hidden="false" customHeight="false" outlineLevel="0" collapsed="false">
      <c r="A330" s="31"/>
      <c r="B330" s="29"/>
      <c r="C330" s="29"/>
      <c r="D330" s="29"/>
      <c r="E330" s="39"/>
      <c r="F330" s="29"/>
      <c r="G330" s="38" t="str">
        <f aca="false">IF(A330="","",DATE(YEAR(A330),MONTH(A330),1))</f>
        <v/>
      </c>
    </row>
    <row r="331" customFormat="false" ht="15" hidden="false" customHeight="false" outlineLevel="0" collapsed="false">
      <c r="A331" s="31"/>
      <c r="B331" s="29"/>
      <c r="C331" s="29"/>
      <c r="D331" s="29"/>
      <c r="E331" s="39"/>
      <c r="F331" s="29"/>
      <c r="G331" s="38" t="str">
        <f aca="false">IF(A331="","",DATE(YEAR(A331),MONTH(A331),1))</f>
        <v/>
      </c>
    </row>
    <row r="332" customFormat="false" ht="15" hidden="false" customHeight="false" outlineLevel="0" collapsed="false">
      <c r="A332" s="31"/>
      <c r="B332" s="29"/>
      <c r="C332" s="29"/>
      <c r="D332" s="29"/>
      <c r="E332" s="39"/>
      <c r="F332" s="29"/>
      <c r="G332" s="38" t="str">
        <f aca="false">IF(A332="","",DATE(YEAR(A332),MONTH(A332),1))</f>
        <v/>
      </c>
    </row>
    <row r="333" customFormat="false" ht="15" hidden="false" customHeight="false" outlineLevel="0" collapsed="false">
      <c r="A333" s="31"/>
      <c r="B333" s="29"/>
      <c r="C333" s="29"/>
      <c r="D333" s="29"/>
      <c r="E333" s="39"/>
      <c r="F333" s="29"/>
      <c r="G333" s="38" t="str">
        <f aca="false">IF(A333="","",DATE(YEAR(A333),MONTH(A333),1))</f>
        <v/>
      </c>
    </row>
    <row r="334" customFormat="false" ht="15" hidden="false" customHeight="false" outlineLevel="0" collapsed="false">
      <c r="A334" s="31"/>
      <c r="B334" s="29"/>
      <c r="C334" s="29"/>
      <c r="D334" s="29"/>
      <c r="E334" s="39"/>
      <c r="F334" s="29"/>
      <c r="G334" s="38" t="str">
        <f aca="false">IF(A334="","",DATE(YEAR(A334),MONTH(A334),1))</f>
        <v/>
      </c>
    </row>
    <row r="335" customFormat="false" ht="15" hidden="false" customHeight="false" outlineLevel="0" collapsed="false">
      <c r="A335" s="31"/>
      <c r="B335" s="29"/>
      <c r="C335" s="29"/>
      <c r="D335" s="29"/>
      <c r="E335" s="39"/>
      <c r="F335" s="29"/>
      <c r="G335" s="38" t="str">
        <f aca="false">IF(A335="","",DATE(YEAR(A335),MONTH(A335),1))</f>
        <v/>
      </c>
    </row>
    <row r="336" customFormat="false" ht="15" hidden="false" customHeight="false" outlineLevel="0" collapsed="false">
      <c r="A336" s="31"/>
      <c r="B336" s="29"/>
      <c r="C336" s="29"/>
      <c r="D336" s="29"/>
      <c r="E336" s="39"/>
      <c r="F336" s="29"/>
      <c r="G336" s="38" t="str">
        <f aca="false">IF(A336="","",DATE(YEAR(A336),MONTH(A336),1))</f>
        <v/>
      </c>
    </row>
    <row r="337" customFormat="false" ht="15" hidden="false" customHeight="false" outlineLevel="0" collapsed="false">
      <c r="A337" s="31"/>
      <c r="B337" s="29"/>
      <c r="C337" s="29"/>
      <c r="D337" s="29"/>
      <c r="E337" s="39"/>
      <c r="F337" s="29"/>
      <c r="G337" s="38" t="str">
        <f aca="false">IF(A337="","",DATE(YEAR(A337),MONTH(A337),1))</f>
        <v/>
      </c>
    </row>
    <row r="338" customFormat="false" ht="15" hidden="false" customHeight="false" outlineLevel="0" collapsed="false">
      <c r="A338" s="31"/>
      <c r="B338" s="29"/>
      <c r="C338" s="29"/>
      <c r="D338" s="29"/>
      <c r="E338" s="39"/>
      <c r="F338" s="29"/>
      <c r="G338" s="38" t="str">
        <f aca="false">IF(A338="","",DATE(YEAR(A338),MONTH(A338),1))</f>
        <v/>
      </c>
    </row>
    <row r="339" customFormat="false" ht="15" hidden="false" customHeight="false" outlineLevel="0" collapsed="false">
      <c r="A339" s="31"/>
      <c r="B339" s="29"/>
      <c r="C339" s="29"/>
      <c r="D339" s="29"/>
      <c r="E339" s="39"/>
      <c r="F339" s="29"/>
      <c r="G339" s="38" t="str">
        <f aca="false">IF(A339="","",DATE(YEAR(A339),MONTH(A339),1))</f>
        <v/>
      </c>
    </row>
    <row r="340" customFormat="false" ht="15" hidden="false" customHeight="false" outlineLevel="0" collapsed="false">
      <c r="A340" s="31"/>
      <c r="B340" s="29"/>
      <c r="C340" s="29"/>
      <c r="D340" s="29"/>
      <c r="E340" s="39"/>
      <c r="F340" s="29"/>
      <c r="G340" s="38" t="str">
        <f aca="false">IF(A340="","",DATE(YEAR(A340),MONTH(A340),1))</f>
        <v/>
      </c>
    </row>
    <row r="341" customFormat="false" ht="15" hidden="false" customHeight="false" outlineLevel="0" collapsed="false">
      <c r="A341" s="31"/>
      <c r="B341" s="29"/>
      <c r="C341" s="29"/>
      <c r="D341" s="29"/>
      <c r="E341" s="39"/>
      <c r="F341" s="29"/>
      <c r="G341" s="38" t="str">
        <f aca="false">IF(A341="","",DATE(YEAR(A341),MONTH(A341),1))</f>
        <v/>
      </c>
    </row>
    <row r="342" customFormat="false" ht="15" hidden="false" customHeight="false" outlineLevel="0" collapsed="false">
      <c r="A342" s="31"/>
      <c r="B342" s="29"/>
      <c r="C342" s="29"/>
      <c r="D342" s="29"/>
      <c r="E342" s="39"/>
      <c r="F342" s="29"/>
      <c r="G342" s="38" t="str">
        <f aca="false">IF(A342="","",DATE(YEAR(A342),MONTH(A342),1))</f>
        <v/>
      </c>
    </row>
    <row r="343" customFormat="false" ht="15" hidden="false" customHeight="false" outlineLevel="0" collapsed="false">
      <c r="A343" s="31"/>
      <c r="B343" s="29"/>
      <c r="C343" s="29"/>
      <c r="D343" s="29"/>
      <c r="E343" s="39"/>
      <c r="F343" s="29"/>
      <c r="G343" s="38" t="str">
        <f aca="false">IF(A343="","",DATE(YEAR(A343),MONTH(A343),1))</f>
        <v/>
      </c>
    </row>
    <row r="344" customFormat="false" ht="15" hidden="false" customHeight="false" outlineLevel="0" collapsed="false">
      <c r="A344" s="31"/>
      <c r="B344" s="29"/>
      <c r="C344" s="29"/>
      <c r="D344" s="29"/>
      <c r="E344" s="39"/>
      <c r="F344" s="29"/>
      <c r="G344" s="38" t="str">
        <f aca="false">IF(A344="","",DATE(YEAR(A344),MONTH(A344),1))</f>
        <v/>
      </c>
    </row>
    <row r="345" customFormat="false" ht="15" hidden="false" customHeight="false" outlineLevel="0" collapsed="false">
      <c r="A345" s="31"/>
      <c r="B345" s="29"/>
      <c r="C345" s="29"/>
      <c r="D345" s="29"/>
      <c r="E345" s="39"/>
      <c r="F345" s="29"/>
      <c r="G345" s="38" t="str">
        <f aca="false">IF(A345="","",DATE(YEAR(A345),MONTH(A345),1))</f>
        <v/>
      </c>
    </row>
    <row r="346" customFormat="false" ht="15" hidden="false" customHeight="false" outlineLevel="0" collapsed="false">
      <c r="A346" s="31"/>
      <c r="B346" s="29"/>
      <c r="C346" s="29"/>
      <c r="D346" s="29"/>
      <c r="E346" s="39"/>
      <c r="F346" s="29"/>
      <c r="G346" s="38" t="str">
        <f aca="false">IF(A346="","",DATE(YEAR(A346),MONTH(A346),1))</f>
        <v/>
      </c>
    </row>
    <row r="347" customFormat="false" ht="15" hidden="false" customHeight="false" outlineLevel="0" collapsed="false">
      <c r="A347" s="31"/>
      <c r="B347" s="29"/>
      <c r="C347" s="29"/>
      <c r="D347" s="29"/>
      <c r="E347" s="39"/>
      <c r="F347" s="29"/>
      <c r="G347" s="38" t="str">
        <f aca="false">IF(A347="","",DATE(YEAR(A347),MONTH(A347),1))</f>
        <v/>
      </c>
    </row>
    <row r="348" customFormat="false" ht="15" hidden="false" customHeight="false" outlineLevel="0" collapsed="false">
      <c r="A348" s="31"/>
      <c r="B348" s="29"/>
      <c r="C348" s="29"/>
      <c r="D348" s="29"/>
      <c r="E348" s="39"/>
      <c r="F348" s="29"/>
      <c r="G348" s="38" t="str">
        <f aca="false">IF(A348="","",DATE(YEAR(A348),MONTH(A348),1))</f>
        <v/>
      </c>
    </row>
    <row r="349" customFormat="false" ht="15" hidden="false" customHeight="false" outlineLevel="0" collapsed="false">
      <c r="A349" s="31"/>
      <c r="B349" s="29"/>
      <c r="C349" s="29"/>
      <c r="D349" s="29"/>
      <c r="E349" s="39"/>
      <c r="F349" s="29"/>
      <c r="G349" s="38" t="str">
        <f aca="false">IF(A349="","",DATE(YEAR(A349),MONTH(A349),1))</f>
        <v/>
      </c>
    </row>
    <row r="350" customFormat="false" ht="15" hidden="false" customHeight="false" outlineLevel="0" collapsed="false">
      <c r="A350" s="31"/>
      <c r="B350" s="29"/>
      <c r="C350" s="29"/>
      <c r="D350" s="29"/>
      <c r="E350" s="39"/>
      <c r="F350" s="29"/>
      <c r="G350" s="38" t="str">
        <f aca="false">IF(A350="","",DATE(YEAR(A350),MONTH(A350),1))</f>
        <v/>
      </c>
    </row>
    <row r="351" customFormat="false" ht="15" hidden="false" customHeight="false" outlineLevel="0" collapsed="false">
      <c r="A351" s="31"/>
      <c r="B351" s="29"/>
      <c r="C351" s="29"/>
      <c r="D351" s="29"/>
      <c r="E351" s="39"/>
      <c r="F351" s="29"/>
      <c r="G351" s="38" t="str">
        <f aca="false">IF(A351="","",DATE(YEAR(A351),MONTH(A351),1))</f>
        <v/>
      </c>
    </row>
    <row r="352" customFormat="false" ht="15" hidden="false" customHeight="false" outlineLevel="0" collapsed="false">
      <c r="A352" s="31"/>
      <c r="B352" s="29"/>
      <c r="C352" s="29"/>
      <c r="D352" s="29"/>
      <c r="E352" s="39"/>
      <c r="F352" s="29"/>
      <c r="G352" s="38" t="str">
        <f aca="false">IF(A352="","",DATE(YEAR(A352),MONTH(A352),1))</f>
        <v/>
      </c>
    </row>
    <row r="353" customFormat="false" ht="15" hidden="false" customHeight="false" outlineLevel="0" collapsed="false">
      <c r="A353" s="31"/>
      <c r="B353" s="29"/>
      <c r="C353" s="29"/>
      <c r="D353" s="29"/>
      <c r="E353" s="39"/>
      <c r="F353" s="29"/>
      <c r="G353" s="38" t="str">
        <f aca="false">IF(A353="","",DATE(YEAR(A353),MONTH(A353),1))</f>
        <v/>
      </c>
    </row>
    <row r="354" customFormat="false" ht="15" hidden="false" customHeight="false" outlineLevel="0" collapsed="false">
      <c r="A354" s="31"/>
      <c r="B354" s="29"/>
      <c r="C354" s="29"/>
      <c r="D354" s="29"/>
      <c r="E354" s="39"/>
      <c r="F354" s="29"/>
      <c r="G354" s="38" t="str">
        <f aca="false">IF(A354="","",DATE(YEAR(A354),MONTH(A354),1))</f>
        <v/>
      </c>
    </row>
    <row r="355" customFormat="false" ht="15" hidden="false" customHeight="false" outlineLevel="0" collapsed="false">
      <c r="A355" s="31"/>
      <c r="B355" s="29"/>
      <c r="C355" s="29"/>
      <c r="D355" s="29"/>
      <c r="E355" s="39"/>
      <c r="F355" s="29"/>
      <c r="G355" s="38" t="str">
        <f aca="false">IF(A355="","",DATE(YEAR(A355),MONTH(A355),1))</f>
        <v/>
      </c>
    </row>
    <row r="356" customFormat="false" ht="15" hidden="false" customHeight="false" outlineLevel="0" collapsed="false">
      <c r="A356" s="31"/>
      <c r="B356" s="29"/>
      <c r="C356" s="29"/>
      <c r="D356" s="29"/>
      <c r="E356" s="39"/>
      <c r="F356" s="29"/>
      <c r="G356" s="38" t="str">
        <f aca="false">IF(A356="","",DATE(YEAR(A356),MONTH(A356),1))</f>
        <v/>
      </c>
    </row>
    <row r="357" customFormat="false" ht="15" hidden="false" customHeight="false" outlineLevel="0" collapsed="false">
      <c r="A357" s="31"/>
      <c r="B357" s="29"/>
      <c r="C357" s="29"/>
      <c r="D357" s="29"/>
      <c r="E357" s="39"/>
      <c r="F357" s="29"/>
      <c r="G357" s="38" t="str">
        <f aca="false">IF(A357="","",DATE(YEAR(A357),MONTH(A357),1))</f>
        <v/>
      </c>
    </row>
    <row r="358" customFormat="false" ht="15" hidden="false" customHeight="false" outlineLevel="0" collapsed="false">
      <c r="A358" s="31"/>
      <c r="B358" s="29"/>
      <c r="C358" s="29"/>
      <c r="D358" s="29"/>
      <c r="E358" s="39"/>
      <c r="F358" s="29"/>
      <c r="G358" s="38" t="str">
        <f aca="false">IF(A358="","",DATE(YEAR(A358),MONTH(A358),1))</f>
        <v/>
      </c>
    </row>
    <row r="359" customFormat="false" ht="15" hidden="false" customHeight="false" outlineLevel="0" collapsed="false">
      <c r="A359" s="31"/>
      <c r="B359" s="29"/>
      <c r="C359" s="29"/>
      <c r="D359" s="29"/>
      <c r="E359" s="39"/>
      <c r="F359" s="29"/>
      <c r="G359" s="38" t="str">
        <f aca="false">IF(A359="","",DATE(YEAR(A359),MONTH(A359),1))</f>
        <v/>
      </c>
    </row>
    <row r="360" customFormat="false" ht="15" hidden="false" customHeight="false" outlineLevel="0" collapsed="false">
      <c r="A360" s="31"/>
      <c r="B360" s="29"/>
      <c r="C360" s="29"/>
      <c r="D360" s="29"/>
      <c r="E360" s="39"/>
      <c r="F360" s="29"/>
      <c r="G360" s="38" t="str">
        <f aca="false">IF(A360="","",DATE(YEAR(A360),MONTH(A360),1))</f>
        <v/>
      </c>
    </row>
    <row r="361" customFormat="false" ht="15" hidden="false" customHeight="false" outlineLevel="0" collapsed="false">
      <c r="A361" s="31"/>
      <c r="B361" s="29"/>
      <c r="C361" s="29"/>
      <c r="D361" s="29"/>
      <c r="E361" s="39"/>
      <c r="F361" s="29"/>
      <c r="G361" s="38" t="str">
        <f aca="false">IF(A361="","",DATE(YEAR(A361),MONTH(A361),1))</f>
        <v/>
      </c>
    </row>
    <row r="362" customFormat="false" ht="15" hidden="false" customHeight="false" outlineLevel="0" collapsed="false">
      <c r="A362" s="31"/>
      <c r="B362" s="29"/>
      <c r="C362" s="29"/>
      <c r="D362" s="29"/>
      <c r="E362" s="39"/>
      <c r="F362" s="29"/>
      <c r="G362" s="38" t="str">
        <f aca="false">IF(A362="","",DATE(YEAR(A362),MONTH(A362),1))</f>
        <v/>
      </c>
    </row>
    <row r="363" customFormat="false" ht="15" hidden="false" customHeight="false" outlineLevel="0" collapsed="false">
      <c r="A363" s="31"/>
      <c r="B363" s="29"/>
      <c r="C363" s="29"/>
      <c r="D363" s="29"/>
      <c r="E363" s="39"/>
      <c r="F363" s="29"/>
      <c r="G363" s="38" t="str">
        <f aca="false">IF(A363="","",DATE(YEAR(A363),MONTH(A363),1))</f>
        <v/>
      </c>
    </row>
    <row r="364" customFormat="false" ht="15" hidden="false" customHeight="false" outlineLevel="0" collapsed="false">
      <c r="A364" s="31"/>
      <c r="B364" s="29"/>
      <c r="C364" s="29"/>
      <c r="D364" s="29"/>
      <c r="E364" s="39"/>
      <c r="F364" s="29"/>
      <c r="G364" s="38" t="str">
        <f aca="false">IF(A364="","",DATE(YEAR(A364),MONTH(A364),1))</f>
        <v/>
      </c>
    </row>
    <row r="365" customFormat="false" ht="15" hidden="false" customHeight="false" outlineLevel="0" collapsed="false">
      <c r="A365" s="31"/>
      <c r="B365" s="29"/>
      <c r="C365" s="29"/>
      <c r="D365" s="29"/>
      <c r="E365" s="39"/>
      <c r="F365" s="29"/>
      <c r="G365" s="38" t="str">
        <f aca="false">IF(A365="","",DATE(YEAR(A365),MONTH(A365),1))</f>
        <v/>
      </c>
    </row>
    <row r="366" customFormat="false" ht="15" hidden="false" customHeight="false" outlineLevel="0" collapsed="false">
      <c r="A366" s="31"/>
      <c r="B366" s="29"/>
      <c r="C366" s="29"/>
      <c r="D366" s="29"/>
      <c r="E366" s="39"/>
      <c r="F366" s="29"/>
      <c r="G366" s="38" t="str">
        <f aca="false">IF(A366="","",DATE(YEAR(A366),MONTH(A366),1))</f>
        <v/>
      </c>
    </row>
    <row r="367" customFormat="false" ht="15" hidden="false" customHeight="false" outlineLevel="0" collapsed="false">
      <c r="A367" s="31"/>
      <c r="B367" s="29"/>
      <c r="C367" s="29"/>
      <c r="D367" s="29"/>
      <c r="E367" s="39"/>
      <c r="F367" s="29"/>
      <c r="G367" s="38" t="str">
        <f aca="false">IF(A367="","",DATE(YEAR(A367),MONTH(A367),1))</f>
        <v/>
      </c>
    </row>
    <row r="368" customFormat="false" ht="15" hidden="false" customHeight="false" outlineLevel="0" collapsed="false">
      <c r="A368" s="31"/>
      <c r="B368" s="29"/>
      <c r="C368" s="29"/>
      <c r="D368" s="29"/>
      <c r="E368" s="39"/>
      <c r="F368" s="29"/>
      <c r="G368" s="38" t="str">
        <f aca="false">IF(A368="","",DATE(YEAR(A368),MONTH(A368),1))</f>
        <v/>
      </c>
    </row>
    <row r="369" customFormat="false" ht="15" hidden="false" customHeight="false" outlineLevel="0" collapsed="false">
      <c r="A369" s="31"/>
      <c r="B369" s="29"/>
      <c r="C369" s="29"/>
      <c r="D369" s="29"/>
      <c r="E369" s="39"/>
      <c r="F369" s="29"/>
      <c r="G369" s="38" t="str">
        <f aca="false">IF(A369="","",DATE(YEAR(A369),MONTH(A369),1))</f>
        <v/>
      </c>
    </row>
    <row r="370" customFormat="false" ht="15" hidden="false" customHeight="false" outlineLevel="0" collapsed="false">
      <c r="A370" s="31"/>
      <c r="B370" s="29"/>
      <c r="C370" s="29"/>
      <c r="D370" s="29"/>
      <c r="E370" s="39"/>
      <c r="F370" s="29"/>
      <c r="G370" s="38" t="str">
        <f aca="false">IF(A370="","",DATE(YEAR(A370),MONTH(A370),1))</f>
        <v/>
      </c>
    </row>
    <row r="371" customFormat="false" ht="15" hidden="false" customHeight="false" outlineLevel="0" collapsed="false">
      <c r="A371" s="31"/>
      <c r="B371" s="29"/>
      <c r="C371" s="29"/>
      <c r="D371" s="29"/>
      <c r="E371" s="39"/>
      <c r="F371" s="29"/>
      <c r="G371" s="38" t="str">
        <f aca="false">IF(A371="","",DATE(YEAR(A371),MONTH(A371),1))</f>
        <v/>
      </c>
    </row>
    <row r="372" customFormat="false" ht="15" hidden="false" customHeight="false" outlineLevel="0" collapsed="false">
      <c r="A372" s="31"/>
      <c r="B372" s="29"/>
      <c r="C372" s="29"/>
      <c r="D372" s="29"/>
      <c r="E372" s="39"/>
      <c r="F372" s="29"/>
      <c r="G372" s="38" t="str">
        <f aca="false">IF(A372="","",DATE(YEAR(A372),MONTH(A372),1))</f>
        <v/>
      </c>
    </row>
    <row r="373" customFormat="false" ht="15" hidden="false" customHeight="false" outlineLevel="0" collapsed="false">
      <c r="A373" s="31"/>
      <c r="B373" s="29"/>
      <c r="C373" s="29"/>
      <c r="D373" s="29"/>
      <c r="E373" s="39"/>
      <c r="F373" s="29"/>
      <c r="G373" s="38" t="str">
        <f aca="false">IF(A373="","",DATE(YEAR(A373),MONTH(A373),1))</f>
        <v/>
      </c>
    </row>
    <row r="374" customFormat="false" ht="15" hidden="false" customHeight="false" outlineLevel="0" collapsed="false">
      <c r="A374" s="31"/>
      <c r="B374" s="29"/>
      <c r="C374" s="29"/>
      <c r="D374" s="29"/>
      <c r="E374" s="39"/>
      <c r="F374" s="29"/>
      <c r="G374" s="38" t="str">
        <f aca="false">IF(A374="","",DATE(YEAR(A374),MONTH(A374),1))</f>
        <v/>
      </c>
    </row>
    <row r="375" customFormat="false" ht="15" hidden="false" customHeight="false" outlineLevel="0" collapsed="false">
      <c r="A375" s="31"/>
      <c r="B375" s="29"/>
      <c r="C375" s="29"/>
      <c r="D375" s="29"/>
      <c r="E375" s="39"/>
      <c r="F375" s="29"/>
      <c r="G375" s="38" t="str">
        <f aca="false">IF(A375="","",DATE(YEAR(A375),MONTH(A375),1))</f>
        <v/>
      </c>
    </row>
    <row r="376" customFormat="false" ht="15" hidden="false" customHeight="false" outlineLevel="0" collapsed="false">
      <c r="A376" s="31"/>
      <c r="B376" s="29"/>
      <c r="C376" s="29"/>
      <c r="D376" s="29"/>
      <c r="E376" s="39"/>
      <c r="F376" s="29"/>
      <c r="G376" s="38" t="str">
        <f aca="false">IF(A376="","",DATE(YEAR(A376),MONTH(A376),1))</f>
        <v/>
      </c>
    </row>
    <row r="377" customFormat="false" ht="15" hidden="false" customHeight="false" outlineLevel="0" collapsed="false">
      <c r="A377" s="31"/>
      <c r="B377" s="29"/>
      <c r="C377" s="29"/>
      <c r="D377" s="29"/>
      <c r="E377" s="39"/>
      <c r="F377" s="29"/>
      <c r="G377" s="38" t="str">
        <f aca="false">IF(A377="","",DATE(YEAR(A377),MONTH(A377),1))</f>
        <v/>
      </c>
    </row>
    <row r="378" customFormat="false" ht="15" hidden="false" customHeight="false" outlineLevel="0" collapsed="false">
      <c r="A378" s="31"/>
      <c r="B378" s="29"/>
      <c r="C378" s="29"/>
      <c r="D378" s="29"/>
      <c r="E378" s="39"/>
      <c r="F378" s="29"/>
      <c r="G378" s="38" t="str">
        <f aca="false">IF(A378="","",DATE(YEAR(A378),MONTH(A378),1))</f>
        <v/>
      </c>
    </row>
    <row r="379" customFormat="false" ht="15" hidden="false" customHeight="false" outlineLevel="0" collapsed="false">
      <c r="A379" s="31"/>
      <c r="B379" s="29"/>
      <c r="C379" s="29"/>
      <c r="D379" s="29"/>
      <c r="E379" s="39"/>
      <c r="F379" s="29"/>
      <c r="G379" s="38" t="str">
        <f aca="false">IF(A379="","",DATE(YEAR(A379),MONTH(A379),1))</f>
        <v/>
      </c>
    </row>
    <row r="380" customFormat="false" ht="15" hidden="false" customHeight="false" outlineLevel="0" collapsed="false">
      <c r="A380" s="31"/>
      <c r="B380" s="29"/>
      <c r="C380" s="29"/>
      <c r="D380" s="29"/>
      <c r="E380" s="39"/>
      <c r="F380" s="29"/>
      <c r="G380" s="38" t="str">
        <f aca="false">IF(A380="","",DATE(YEAR(A380),MONTH(A380),1))</f>
        <v/>
      </c>
    </row>
    <row r="381" customFormat="false" ht="15" hidden="false" customHeight="false" outlineLevel="0" collapsed="false">
      <c r="A381" s="31"/>
      <c r="B381" s="29"/>
      <c r="C381" s="29"/>
      <c r="D381" s="29"/>
      <c r="E381" s="39"/>
      <c r="F381" s="29"/>
      <c r="G381" s="38" t="str">
        <f aca="false">IF(A381="","",DATE(YEAR(A381),MONTH(A381),1))</f>
        <v/>
      </c>
    </row>
    <row r="382" customFormat="false" ht="15" hidden="false" customHeight="false" outlineLevel="0" collapsed="false">
      <c r="A382" s="31"/>
      <c r="B382" s="29"/>
      <c r="C382" s="29"/>
      <c r="D382" s="29"/>
      <c r="E382" s="39"/>
      <c r="F382" s="29"/>
      <c r="G382" s="38" t="str">
        <f aca="false">IF(A382="","",DATE(YEAR(A382),MONTH(A382),1))</f>
        <v/>
      </c>
    </row>
    <row r="383" customFormat="false" ht="15" hidden="false" customHeight="false" outlineLevel="0" collapsed="false">
      <c r="A383" s="31"/>
      <c r="B383" s="29"/>
      <c r="C383" s="29"/>
      <c r="D383" s="29"/>
      <c r="E383" s="39"/>
      <c r="F383" s="29"/>
      <c r="G383" s="38" t="str">
        <f aca="false">IF(A383="","",DATE(YEAR(A383),MONTH(A383),1))</f>
        <v/>
      </c>
    </row>
    <row r="384" customFormat="false" ht="15" hidden="false" customHeight="false" outlineLevel="0" collapsed="false">
      <c r="A384" s="31"/>
      <c r="B384" s="29"/>
      <c r="C384" s="29"/>
      <c r="D384" s="29"/>
      <c r="E384" s="39"/>
      <c r="F384" s="29"/>
      <c r="G384" s="38" t="str">
        <f aca="false">IF(A384="","",DATE(YEAR(A384),MONTH(A384),1))</f>
        <v/>
      </c>
    </row>
    <row r="385" customFormat="false" ht="15" hidden="false" customHeight="false" outlineLevel="0" collapsed="false">
      <c r="A385" s="31"/>
      <c r="B385" s="29"/>
      <c r="C385" s="29"/>
      <c r="D385" s="29"/>
      <c r="E385" s="39"/>
      <c r="F385" s="29"/>
      <c r="G385" s="38" t="str">
        <f aca="false">IF(A385="","",DATE(YEAR(A385),MONTH(A385),1))</f>
        <v/>
      </c>
    </row>
    <row r="386" customFormat="false" ht="15" hidden="false" customHeight="false" outlineLevel="0" collapsed="false">
      <c r="A386" s="31"/>
      <c r="B386" s="29"/>
      <c r="C386" s="29"/>
      <c r="D386" s="29"/>
      <c r="E386" s="39"/>
      <c r="F386" s="29"/>
      <c r="G386" s="38" t="str">
        <f aca="false">IF(A386="","",DATE(YEAR(A386),MONTH(A386),1))</f>
        <v/>
      </c>
    </row>
    <row r="387" customFormat="false" ht="15" hidden="false" customHeight="false" outlineLevel="0" collapsed="false">
      <c r="A387" s="31"/>
      <c r="B387" s="29"/>
      <c r="C387" s="29"/>
      <c r="D387" s="29"/>
      <c r="E387" s="39"/>
      <c r="F387" s="29"/>
      <c r="G387" s="38" t="str">
        <f aca="false">IF(A387="","",DATE(YEAR(A387),MONTH(A387),1))</f>
        <v/>
      </c>
    </row>
    <row r="388" customFormat="false" ht="15" hidden="false" customHeight="false" outlineLevel="0" collapsed="false">
      <c r="A388" s="31"/>
      <c r="B388" s="29"/>
      <c r="C388" s="29"/>
      <c r="D388" s="29"/>
      <c r="E388" s="39"/>
      <c r="F388" s="29"/>
      <c r="G388" s="38" t="str">
        <f aca="false">IF(A388="","",DATE(YEAR(A388),MONTH(A388),1))</f>
        <v/>
      </c>
    </row>
    <row r="389" customFormat="false" ht="15" hidden="false" customHeight="false" outlineLevel="0" collapsed="false">
      <c r="A389" s="31"/>
      <c r="B389" s="29"/>
      <c r="C389" s="29"/>
      <c r="D389" s="29"/>
      <c r="E389" s="39"/>
      <c r="F389" s="29"/>
      <c r="G389" s="38" t="str">
        <f aca="false">IF(A389="","",DATE(YEAR(A389),MONTH(A389),1))</f>
        <v/>
      </c>
    </row>
    <row r="390" customFormat="false" ht="15" hidden="false" customHeight="false" outlineLevel="0" collapsed="false">
      <c r="A390" s="31"/>
      <c r="B390" s="29"/>
      <c r="C390" s="29"/>
      <c r="D390" s="29"/>
      <c r="E390" s="39"/>
      <c r="F390" s="29"/>
      <c r="G390" s="38" t="str">
        <f aca="false">IF(A390="","",DATE(YEAR(A390),MONTH(A390),1))</f>
        <v/>
      </c>
    </row>
    <row r="391" customFormat="false" ht="15" hidden="false" customHeight="false" outlineLevel="0" collapsed="false">
      <c r="A391" s="31"/>
      <c r="B391" s="29"/>
      <c r="C391" s="29"/>
      <c r="D391" s="29"/>
      <c r="E391" s="39"/>
      <c r="F391" s="29"/>
      <c r="G391" s="38" t="str">
        <f aca="false">IF(A391="","",DATE(YEAR(A391),MONTH(A391),1))</f>
        <v/>
      </c>
    </row>
    <row r="392" customFormat="false" ht="15" hidden="false" customHeight="false" outlineLevel="0" collapsed="false">
      <c r="A392" s="31"/>
      <c r="B392" s="29"/>
      <c r="C392" s="29"/>
      <c r="D392" s="29"/>
      <c r="E392" s="39"/>
      <c r="F392" s="29"/>
      <c r="G392" s="38" t="str">
        <f aca="false">IF(A392="","",DATE(YEAR(A392),MONTH(A392),1))</f>
        <v/>
      </c>
    </row>
    <row r="393" customFormat="false" ht="15" hidden="false" customHeight="false" outlineLevel="0" collapsed="false">
      <c r="A393" s="31"/>
      <c r="B393" s="29"/>
      <c r="C393" s="29"/>
      <c r="D393" s="29"/>
      <c r="E393" s="39"/>
      <c r="F393" s="29"/>
      <c r="G393" s="38" t="str">
        <f aca="false">IF(A393="","",DATE(YEAR(A393),MONTH(A393),1))</f>
        <v/>
      </c>
    </row>
    <row r="394" customFormat="false" ht="15" hidden="false" customHeight="false" outlineLevel="0" collapsed="false">
      <c r="A394" s="31"/>
      <c r="B394" s="29"/>
      <c r="C394" s="29"/>
      <c r="D394" s="29"/>
      <c r="E394" s="39"/>
      <c r="F394" s="29"/>
      <c r="G394" s="38" t="str">
        <f aca="false">IF(A394="","",DATE(YEAR(A394),MONTH(A394),1))</f>
        <v/>
      </c>
    </row>
    <row r="395" customFormat="false" ht="15" hidden="false" customHeight="false" outlineLevel="0" collapsed="false">
      <c r="A395" s="31"/>
      <c r="B395" s="29"/>
      <c r="C395" s="29"/>
      <c r="D395" s="29"/>
      <c r="E395" s="39"/>
      <c r="F395" s="29"/>
      <c r="G395" s="38" t="str">
        <f aca="false">IF(A395="","",DATE(YEAR(A395),MONTH(A395),1))</f>
        <v/>
      </c>
    </row>
    <row r="396" customFormat="false" ht="15" hidden="false" customHeight="false" outlineLevel="0" collapsed="false">
      <c r="A396" s="31"/>
      <c r="B396" s="29"/>
      <c r="C396" s="29"/>
      <c r="D396" s="29"/>
      <c r="E396" s="39"/>
      <c r="F396" s="29"/>
      <c r="G396" s="38" t="str">
        <f aca="false">IF(A396="","",DATE(YEAR(A396),MONTH(A396),1))</f>
        <v/>
      </c>
    </row>
    <row r="397" customFormat="false" ht="15" hidden="false" customHeight="false" outlineLevel="0" collapsed="false">
      <c r="A397" s="31"/>
      <c r="B397" s="29"/>
      <c r="C397" s="29"/>
      <c r="D397" s="29"/>
      <c r="E397" s="39"/>
      <c r="F397" s="29"/>
      <c r="G397" s="38" t="str">
        <f aca="false">IF(A397="","",DATE(YEAR(A397),MONTH(A397),1))</f>
        <v/>
      </c>
    </row>
    <row r="398" customFormat="false" ht="15" hidden="false" customHeight="false" outlineLevel="0" collapsed="false">
      <c r="A398" s="31"/>
      <c r="B398" s="29"/>
      <c r="C398" s="29"/>
      <c r="D398" s="29"/>
      <c r="E398" s="39"/>
      <c r="F398" s="29"/>
      <c r="G398" s="38" t="str">
        <f aca="false">IF(A398="","",DATE(YEAR(A398),MONTH(A398),1))</f>
        <v/>
      </c>
    </row>
    <row r="399" customFormat="false" ht="15" hidden="false" customHeight="false" outlineLevel="0" collapsed="false">
      <c r="A399" s="31"/>
      <c r="B399" s="29"/>
      <c r="C399" s="29"/>
      <c r="D399" s="29"/>
      <c r="E399" s="39"/>
      <c r="F399" s="29"/>
      <c r="G399" s="38" t="str">
        <f aca="false">IF(A399="","",DATE(YEAR(A399),MONTH(A399),1))</f>
        <v/>
      </c>
    </row>
    <row r="400" customFormat="false" ht="15" hidden="false" customHeight="false" outlineLevel="0" collapsed="false">
      <c r="A400" s="31"/>
      <c r="B400" s="29"/>
      <c r="C400" s="29"/>
      <c r="D400" s="29"/>
      <c r="E400" s="39"/>
      <c r="F400" s="29"/>
      <c r="G400" s="38" t="str">
        <f aca="false">IF(A400="","",DATE(YEAR(A400),MONTH(A400),1))</f>
        <v/>
      </c>
    </row>
    <row r="401" customFormat="false" ht="15" hidden="false" customHeight="false" outlineLevel="0" collapsed="false">
      <c r="A401" s="31"/>
      <c r="B401" s="29"/>
      <c r="C401" s="29"/>
      <c r="D401" s="29"/>
      <c r="E401" s="39"/>
      <c r="F401" s="29"/>
      <c r="G401" s="38" t="str">
        <f aca="false">IF(A401="","",DATE(YEAR(A401),MONTH(A401),1))</f>
        <v/>
      </c>
    </row>
    <row r="402" customFormat="false" ht="15" hidden="false" customHeight="false" outlineLevel="0" collapsed="false">
      <c r="A402" s="31"/>
      <c r="B402" s="29"/>
      <c r="C402" s="29"/>
      <c r="D402" s="29"/>
      <c r="E402" s="39"/>
      <c r="F402" s="29"/>
      <c r="G402" s="38" t="str">
        <f aca="false">IF(A402="","",DATE(YEAR(A402),MONTH(A402),1))</f>
        <v/>
      </c>
    </row>
    <row r="403" customFormat="false" ht="15" hidden="false" customHeight="false" outlineLevel="0" collapsed="false">
      <c r="A403" s="31"/>
      <c r="B403" s="29"/>
      <c r="C403" s="29"/>
      <c r="D403" s="29"/>
      <c r="E403" s="39"/>
      <c r="F403" s="29"/>
      <c r="G403" s="38" t="str">
        <f aca="false">IF(A403="","",DATE(YEAR(A403),MONTH(A403),1))</f>
        <v/>
      </c>
    </row>
    <row r="404" customFormat="false" ht="15" hidden="false" customHeight="false" outlineLevel="0" collapsed="false">
      <c r="A404" s="31"/>
      <c r="B404" s="29"/>
      <c r="C404" s="29"/>
      <c r="D404" s="29"/>
      <c r="E404" s="39"/>
      <c r="F404" s="29"/>
      <c r="G404" s="38" t="str">
        <f aca="false">IF(A404="","",DATE(YEAR(A404),MONTH(A404),1))</f>
        <v/>
      </c>
    </row>
    <row r="405" customFormat="false" ht="15" hidden="false" customHeight="false" outlineLevel="0" collapsed="false">
      <c r="A405" s="31"/>
      <c r="B405" s="29"/>
      <c r="C405" s="29"/>
      <c r="D405" s="29"/>
      <c r="E405" s="39"/>
      <c r="F405" s="29"/>
      <c r="G405" s="38" t="str">
        <f aca="false">IF(A405="","",DATE(YEAR(A405),MONTH(A405),1))</f>
        <v/>
      </c>
    </row>
    <row r="406" customFormat="false" ht="15" hidden="false" customHeight="false" outlineLevel="0" collapsed="false">
      <c r="A406" s="31"/>
      <c r="B406" s="29"/>
      <c r="C406" s="29"/>
      <c r="D406" s="29"/>
      <c r="E406" s="39"/>
      <c r="F406" s="29"/>
      <c r="G406" s="38" t="str">
        <f aca="false">IF(A406="","",DATE(YEAR(A406),MONTH(A406),1))</f>
        <v/>
      </c>
    </row>
    <row r="407" customFormat="false" ht="15" hidden="false" customHeight="false" outlineLevel="0" collapsed="false">
      <c r="A407" s="31"/>
      <c r="B407" s="29"/>
      <c r="C407" s="29"/>
      <c r="D407" s="29"/>
      <c r="E407" s="39"/>
      <c r="F407" s="29"/>
      <c r="G407" s="38" t="str">
        <f aca="false">IF(A407="","",DATE(YEAR(A407),MONTH(A407),1))</f>
        <v/>
      </c>
    </row>
    <row r="408" customFormat="false" ht="15" hidden="false" customHeight="false" outlineLevel="0" collapsed="false">
      <c r="A408" s="31"/>
      <c r="B408" s="29"/>
      <c r="C408" s="29"/>
      <c r="D408" s="29"/>
      <c r="E408" s="39"/>
      <c r="F408" s="29"/>
      <c r="G408" s="38" t="str">
        <f aca="false">IF(A408="","",DATE(YEAR(A408),MONTH(A408),1))</f>
        <v/>
      </c>
    </row>
    <row r="409" customFormat="false" ht="15" hidden="false" customHeight="false" outlineLevel="0" collapsed="false">
      <c r="A409" s="31"/>
      <c r="B409" s="29"/>
      <c r="C409" s="29"/>
      <c r="D409" s="29"/>
      <c r="E409" s="39"/>
      <c r="F409" s="29"/>
      <c r="G409" s="38" t="str">
        <f aca="false">IF(A409="","",DATE(YEAR(A409),MONTH(A409),1))</f>
        <v/>
      </c>
    </row>
    <row r="410" customFormat="false" ht="15" hidden="false" customHeight="false" outlineLevel="0" collapsed="false">
      <c r="A410" s="31"/>
      <c r="B410" s="29"/>
      <c r="C410" s="29"/>
      <c r="D410" s="29"/>
      <c r="E410" s="39"/>
      <c r="F410" s="29"/>
      <c r="G410" s="38" t="str">
        <f aca="false">IF(A410="","",DATE(YEAR(A410),MONTH(A410),1))</f>
        <v/>
      </c>
    </row>
    <row r="411" customFormat="false" ht="15" hidden="false" customHeight="false" outlineLevel="0" collapsed="false">
      <c r="A411" s="31"/>
      <c r="B411" s="29"/>
      <c r="C411" s="29"/>
      <c r="D411" s="29"/>
      <c r="E411" s="39"/>
      <c r="F411" s="29"/>
      <c r="G411" s="38" t="str">
        <f aca="false">IF(A411="","",DATE(YEAR(A411),MONTH(A411),1))</f>
        <v/>
      </c>
    </row>
    <row r="412" customFormat="false" ht="15" hidden="false" customHeight="false" outlineLevel="0" collapsed="false">
      <c r="A412" s="31"/>
      <c r="B412" s="29"/>
      <c r="C412" s="29"/>
      <c r="D412" s="29"/>
      <c r="E412" s="39"/>
      <c r="F412" s="29"/>
      <c r="G412" s="38" t="str">
        <f aca="false">IF(A412="","",DATE(YEAR(A412),MONTH(A412),1))</f>
        <v/>
      </c>
    </row>
    <row r="413" customFormat="false" ht="15" hidden="false" customHeight="false" outlineLevel="0" collapsed="false">
      <c r="A413" s="31"/>
      <c r="B413" s="29"/>
      <c r="C413" s="29"/>
      <c r="D413" s="29"/>
      <c r="E413" s="39"/>
      <c r="F413" s="29"/>
      <c r="G413" s="38" t="str">
        <f aca="false">IF(A413="","",DATE(YEAR(A413),MONTH(A413),1))</f>
        <v/>
      </c>
    </row>
    <row r="414" customFormat="false" ht="15" hidden="false" customHeight="false" outlineLevel="0" collapsed="false">
      <c r="A414" s="31"/>
      <c r="B414" s="29"/>
      <c r="C414" s="29"/>
      <c r="D414" s="29"/>
      <c r="E414" s="39"/>
      <c r="F414" s="29"/>
      <c r="G414" s="38" t="str">
        <f aca="false">IF(A414="","",DATE(YEAR(A414),MONTH(A414),1))</f>
        <v/>
      </c>
    </row>
    <row r="415" customFormat="false" ht="15" hidden="false" customHeight="false" outlineLevel="0" collapsed="false">
      <c r="A415" s="31"/>
      <c r="B415" s="29"/>
      <c r="C415" s="29"/>
      <c r="D415" s="29"/>
      <c r="E415" s="39"/>
      <c r="F415" s="29"/>
      <c r="G415" s="38" t="str">
        <f aca="false">IF(A415="","",DATE(YEAR(A415),MONTH(A415),1))</f>
        <v/>
      </c>
    </row>
    <row r="416" customFormat="false" ht="15" hidden="false" customHeight="false" outlineLevel="0" collapsed="false">
      <c r="A416" s="31"/>
      <c r="B416" s="29"/>
      <c r="C416" s="29"/>
      <c r="D416" s="29"/>
      <c r="E416" s="39"/>
      <c r="F416" s="29"/>
      <c r="G416" s="38" t="str">
        <f aca="false">IF(A416="","",DATE(YEAR(A416),MONTH(A416),1))</f>
        <v/>
      </c>
    </row>
    <row r="417" customFormat="false" ht="15" hidden="false" customHeight="false" outlineLevel="0" collapsed="false">
      <c r="A417" s="31"/>
      <c r="B417" s="29"/>
      <c r="C417" s="29"/>
      <c r="D417" s="29"/>
      <c r="E417" s="39"/>
      <c r="F417" s="29"/>
      <c r="G417" s="38" t="str">
        <f aca="false">IF(A417="","",DATE(YEAR(A417),MONTH(A417),1))</f>
        <v/>
      </c>
    </row>
    <row r="418" customFormat="false" ht="15" hidden="false" customHeight="false" outlineLevel="0" collapsed="false">
      <c r="A418" s="31"/>
      <c r="B418" s="29"/>
      <c r="C418" s="29"/>
      <c r="D418" s="29"/>
      <c r="E418" s="39"/>
      <c r="F418" s="29"/>
      <c r="G418" s="38" t="str">
        <f aca="false">IF(A418="","",DATE(YEAR(A418),MONTH(A418),1))</f>
        <v/>
      </c>
    </row>
    <row r="419" customFormat="false" ht="15" hidden="false" customHeight="false" outlineLevel="0" collapsed="false">
      <c r="A419" s="31"/>
      <c r="B419" s="29"/>
      <c r="C419" s="29"/>
      <c r="D419" s="29"/>
      <c r="E419" s="39"/>
      <c r="F419" s="29"/>
      <c r="G419" s="38" t="str">
        <f aca="false">IF(A419="","",DATE(YEAR(A419),MONTH(A419),1))</f>
        <v/>
      </c>
    </row>
    <row r="420" customFormat="false" ht="15" hidden="false" customHeight="false" outlineLevel="0" collapsed="false">
      <c r="A420" s="31"/>
      <c r="B420" s="29"/>
      <c r="C420" s="29"/>
      <c r="D420" s="29"/>
      <c r="E420" s="39"/>
      <c r="F420" s="29"/>
      <c r="G420" s="38" t="str">
        <f aca="false">IF(A420="","",DATE(YEAR(A420),MONTH(A420),1))</f>
        <v/>
      </c>
    </row>
    <row r="421" customFormat="false" ht="15" hidden="false" customHeight="false" outlineLevel="0" collapsed="false">
      <c r="A421" s="31"/>
      <c r="B421" s="29"/>
      <c r="C421" s="29"/>
      <c r="D421" s="29"/>
      <c r="E421" s="39"/>
      <c r="F421" s="29"/>
      <c r="G421" s="38" t="str">
        <f aca="false">IF(A421="","",DATE(YEAR(A421),MONTH(A421),1))</f>
        <v/>
      </c>
    </row>
    <row r="422" customFormat="false" ht="15" hidden="false" customHeight="false" outlineLevel="0" collapsed="false">
      <c r="A422" s="31"/>
      <c r="B422" s="29"/>
      <c r="C422" s="29"/>
      <c r="D422" s="29"/>
      <c r="E422" s="39"/>
      <c r="F422" s="29"/>
      <c r="G422" s="38" t="str">
        <f aca="false">IF(A422="","",DATE(YEAR(A422),MONTH(A422),1))</f>
        <v/>
      </c>
    </row>
    <row r="423" customFormat="false" ht="15" hidden="false" customHeight="false" outlineLevel="0" collapsed="false">
      <c r="A423" s="31"/>
      <c r="B423" s="29"/>
      <c r="C423" s="29"/>
      <c r="D423" s="29"/>
      <c r="E423" s="39"/>
      <c r="F423" s="29"/>
      <c r="G423" s="38" t="str">
        <f aca="false">IF(A423="","",DATE(YEAR(A423),MONTH(A423),1))</f>
        <v/>
      </c>
    </row>
    <row r="424" customFormat="false" ht="15" hidden="false" customHeight="false" outlineLevel="0" collapsed="false">
      <c r="A424" s="31"/>
      <c r="B424" s="29"/>
      <c r="C424" s="29"/>
      <c r="D424" s="29"/>
      <c r="E424" s="39"/>
      <c r="F424" s="29"/>
      <c r="G424" s="38" t="str">
        <f aca="false">IF(A424="","",DATE(YEAR(A424),MONTH(A424),1))</f>
        <v/>
      </c>
    </row>
    <row r="425" customFormat="false" ht="15" hidden="false" customHeight="false" outlineLevel="0" collapsed="false">
      <c r="A425" s="31"/>
      <c r="B425" s="29"/>
      <c r="C425" s="29"/>
      <c r="D425" s="29"/>
      <c r="E425" s="39"/>
      <c r="F425" s="29"/>
      <c r="G425" s="38" t="str">
        <f aca="false">IF(A425="","",DATE(YEAR(A425),MONTH(A425),1))</f>
        <v/>
      </c>
    </row>
    <row r="426" customFormat="false" ht="15" hidden="false" customHeight="false" outlineLevel="0" collapsed="false">
      <c r="A426" s="31"/>
      <c r="B426" s="29"/>
      <c r="C426" s="29"/>
      <c r="D426" s="29"/>
      <c r="E426" s="39"/>
      <c r="F426" s="29"/>
      <c r="G426" s="38" t="str">
        <f aca="false">IF(A426="","",DATE(YEAR(A426),MONTH(A426),1))</f>
        <v/>
      </c>
    </row>
    <row r="427" customFormat="false" ht="15" hidden="false" customHeight="false" outlineLevel="0" collapsed="false">
      <c r="A427" s="31"/>
      <c r="B427" s="29"/>
      <c r="C427" s="29"/>
      <c r="D427" s="29"/>
      <c r="E427" s="39"/>
      <c r="F427" s="29"/>
      <c r="G427" s="38" t="str">
        <f aca="false">IF(A427="","",DATE(YEAR(A427),MONTH(A427),1))</f>
        <v/>
      </c>
    </row>
    <row r="428" customFormat="false" ht="15" hidden="false" customHeight="false" outlineLevel="0" collapsed="false">
      <c r="A428" s="31"/>
      <c r="B428" s="29"/>
      <c r="C428" s="29"/>
      <c r="D428" s="29"/>
      <c r="E428" s="39"/>
      <c r="F428" s="29"/>
      <c r="G428" s="38" t="str">
        <f aca="false">IF(A428="","",DATE(YEAR(A428),MONTH(A428),1))</f>
        <v/>
      </c>
    </row>
    <row r="429" customFormat="false" ht="15" hidden="false" customHeight="false" outlineLevel="0" collapsed="false">
      <c r="A429" s="31"/>
      <c r="B429" s="29"/>
      <c r="C429" s="29"/>
      <c r="D429" s="29"/>
      <c r="E429" s="39"/>
      <c r="F429" s="29"/>
      <c r="G429" s="38" t="str">
        <f aca="false">IF(A429="","",DATE(YEAR(A429),MONTH(A429),1))</f>
        <v/>
      </c>
    </row>
    <row r="430" customFormat="false" ht="15" hidden="false" customHeight="false" outlineLevel="0" collapsed="false">
      <c r="A430" s="31"/>
      <c r="B430" s="29"/>
      <c r="C430" s="29"/>
      <c r="D430" s="29"/>
      <c r="E430" s="39"/>
      <c r="F430" s="29"/>
      <c r="G430" s="38" t="str">
        <f aca="false">IF(A430="","",DATE(YEAR(A430),MONTH(A430),1))</f>
        <v/>
      </c>
    </row>
    <row r="431" customFormat="false" ht="15" hidden="false" customHeight="false" outlineLevel="0" collapsed="false">
      <c r="A431" s="31"/>
      <c r="B431" s="29"/>
      <c r="C431" s="29"/>
      <c r="D431" s="29"/>
      <c r="E431" s="39"/>
      <c r="F431" s="29"/>
      <c r="G431" s="38" t="str">
        <f aca="false">IF(A431="","",DATE(YEAR(A431),MONTH(A431),1))</f>
        <v/>
      </c>
    </row>
    <row r="432" customFormat="false" ht="15" hidden="false" customHeight="false" outlineLevel="0" collapsed="false">
      <c r="A432" s="31"/>
      <c r="B432" s="29"/>
      <c r="C432" s="29"/>
      <c r="D432" s="29"/>
      <c r="E432" s="39"/>
      <c r="F432" s="29"/>
      <c r="G432" s="38" t="str">
        <f aca="false">IF(A432="","",DATE(YEAR(A432),MONTH(A432),1))</f>
        <v/>
      </c>
    </row>
    <row r="433" customFormat="false" ht="15" hidden="false" customHeight="false" outlineLevel="0" collapsed="false">
      <c r="A433" s="31"/>
      <c r="B433" s="29"/>
      <c r="C433" s="29"/>
      <c r="D433" s="29"/>
      <c r="E433" s="39"/>
      <c r="F433" s="29"/>
      <c r="G433" s="38" t="str">
        <f aca="false">IF(A433="","",DATE(YEAR(A433),MONTH(A433),1))</f>
        <v/>
      </c>
    </row>
    <row r="434" customFormat="false" ht="15" hidden="false" customHeight="false" outlineLevel="0" collapsed="false">
      <c r="A434" s="31"/>
      <c r="B434" s="29"/>
      <c r="C434" s="29"/>
      <c r="D434" s="29"/>
      <c r="E434" s="39"/>
      <c r="F434" s="29"/>
      <c r="G434" s="38" t="str">
        <f aca="false">IF(A434="","",DATE(YEAR(A434),MONTH(A434),1))</f>
        <v/>
      </c>
    </row>
    <row r="435" customFormat="false" ht="15" hidden="false" customHeight="false" outlineLevel="0" collapsed="false">
      <c r="A435" s="31"/>
      <c r="B435" s="29"/>
      <c r="C435" s="29"/>
      <c r="D435" s="29"/>
      <c r="E435" s="39"/>
      <c r="F435" s="29"/>
      <c r="G435" s="38" t="str">
        <f aca="false">IF(A435="","",DATE(YEAR(A435),MONTH(A435),1))</f>
        <v/>
      </c>
    </row>
    <row r="436" customFormat="false" ht="15" hidden="false" customHeight="false" outlineLevel="0" collapsed="false">
      <c r="A436" s="31"/>
      <c r="B436" s="29"/>
      <c r="C436" s="29"/>
      <c r="D436" s="29"/>
      <c r="E436" s="39"/>
      <c r="F436" s="29"/>
      <c r="G436" s="38" t="str">
        <f aca="false">IF(A436="","",DATE(YEAR(A436),MONTH(A436),1))</f>
        <v/>
      </c>
    </row>
    <row r="437" customFormat="false" ht="15" hidden="false" customHeight="false" outlineLevel="0" collapsed="false">
      <c r="A437" s="31"/>
      <c r="B437" s="29"/>
      <c r="C437" s="29"/>
      <c r="D437" s="29"/>
      <c r="E437" s="39"/>
      <c r="F437" s="29"/>
      <c r="G437" s="38" t="str">
        <f aca="false">IF(A437="","",DATE(YEAR(A437),MONTH(A437),1))</f>
        <v/>
      </c>
    </row>
    <row r="438" customFormat="false" ht="15" hidden="false" customHeight="false" outlineLevel="0" collapsed="false">
      <c r="A438" s="31"/>
      <c r="B438" s="29"/>
      <c r="C438" s="29"/>
      <c r="D438" s="29"/>
      <c r="E438" s="39"/>
      <c r="F438" s="29"/>
      <c r="G438" s="38" t="str">
        <f aca="false">IF(A438="","",DATE(YEAR(A438),MONTH(A438),1))</f>
        <v/>
      </c>
    </row>
    <row r="439" customFormat="false" ht="15" hidden="false" customHeight="false" outlineLevel="0" collapsed="false">
      <c r="A439" s="31"/>
      <c r="B439" s="29"/>
      <c r="C439" s="29"/>
      <c r="D439" s="29"/>
      <c r="E439" s="39"/>
      <c r="F439" s="29"/>
      <c r="G439" s="38" t="str">
        <f aca="false">IF(A439="","",DATE(YEAR(A439),MONTH(A439),1))</f>
        <v/>
      </c>
    </row>
    <row r="440" customFormat="false" ht="15" hidden="false" customHeight="false" outlineLevel="0" collapsed="false">
      <c r="A440" s="31"/>
      <c r="B440" s="29"/>
      <c r="C440" s="29"/>
      <c r="D440" s="29"/>
      <c r="E440" s="39"/>
      <c r="F440" s="29"/>
      <c r="G440" s="38" t="str">
        <f aca="false">IF(A440="","",DATE(YEAR(A440),MONTH(A440),1))</f>
        <v/>
      </c>
    </row>
    <row r="441" customFormat="false" ht="15" hidden="false" customHeight="false" outlineLevel="0" collapsed="false">
      <c r="A441" s="31"/>
      <c r="B441" s="29"/>
      <c r="C441" s="29"/>
      <c r="D441" s="29"/>
      <c r="E441" s="39"/>
      <c r="F441" s="29"/>
      <c r="G441" s="38" t="str">
        <f aca="false">IF(A441="","",DATE(YEAR(A441),MONTH(A441),1))</f>
        <v/>
      </c>
    </row>
    <row r="442" customFormat="false" ht="15" hidden="false" customHeight="false" outlineLevel="0" collapsed="false">
      <c r="A442" s="31"/>
      <c r="B442" s="29"/>
      <c r="C442" s="29"/>
      <c r="D442" s="29"/>
      <c r="E442" s="39"/>
      <c r="F442" s="29"/>
      <c r="G442" s="38" t="str">
        <f aca="false">IF(A442="","",DATE(YEAR(A442),MONTH(A442),1))</f>
        <v/>
      </c>
    </row>
    <row r="443" customFormat="false" ht="15" hidden="false" customHeight="false" outlineLevel="0" collapsed="false">
      <c r="A443" s="31"/>
      <c r="B443" s="29"/>
      <c r="C443" s="29"/>
      <c r="D443" s="29"/>
      <c r="E443" s="39"/>
      <c r="F443" s="29"/>
      <c r="G443" s="38" t="str">
        <f aca="false">IF(A443="","",DATE(YEAR(A443),MONTH(A443),1))</f>
        <v/>
      </c>
    </row>
    <row r="444" customFormat="false" ht="15" hidden="false" customHeight="false" outlineLevel="0" collapsed="false">
      <c r="A444" s="31"/>
      <c r="B444" s="29"/>
      <c r="C444" s="29"/>
      <c r="D444" s="29"/>
      <c r="E444" s="39"/>
      <c r="F444" s="29"/>
      <c r="G444" s="38" t="str">
        <f aca="false">IF(A444="","",DATE(YEAR(A444),MONTH(A444),1))</f>
        <v/>
      </c>
    </row>
    <row r="445" customFormat="false" ht="15" hidden="false" customHeight="false" outlineLevel="0" collapsed="false">
      <c r="A445" s="31"/>
      <c r="B445" s="29"/>
      <c r="C445" s="29"/>
      <c r="D445" s="29"/>
      <c r="E445" s="39"/>
      <c r="F445" s="29"/>
      <c r="G445" s="38" t="str">
        <f aca="false">IF(A445="","",DATE(YEAR(A445),MONTH(A445),1))</f>
        <v/>
      </c>
    </row>
    <row r="446" customFormat="false" ht="15" hidden="false" customHeight="false" outlineLevel="0" collapsed="false">
      <c r="A446" s="31"/>
      <c r="B446" s="29"/>
      <c r="C446" s="29"/>
      <c r="D446" s="29"/>
      <c r="E446" s="39"/>
      <c r="F446" s="29"/>
      <c r="G446" s="38" t="str">
        <f aca="false">IF(A446="","",DATE(YEAR(A446),MONTH(A446),1))</f>
        <v/>
      </c>
    </row>
    <row r="447" customFormat="false" ht="15" hidden="false" customHeight="false" outlineLevel="0" collapsed="false">
      <c r="A447" s="31"/>
      <c r="B447" s="29"/>
      <c r="C447" s="29"/>
      <c r="D447" s="29"/>
      <c r="E447" s="39"/>
      <c r="F447" s="29"/>
      <c r="G447" s="38" t="str">
        <f aca="false">IF(A447="","",DATE(YEAR(A447),MONTH(A447),1))</f>
        <v/>
      </c>
    </row>
    <row r="448" customFormat="false" ht="15" hidden="false" customHeight="false" outlineLevel="0" collapsed="false">
      <c r="A448" s="31"/>
      <c r="B448" s="29"/>
      <c r="C448" s="29"/>
      <c r="D448" s="29"/>
      <c r="E448" s="39"/>
      <c r="F448" s="29"/>
      <c r="G448" s="38" t="str">
        <f aca="false">IF(A448="","",DATE(YEAR(A448),MONTH(A448),1))</f>
        <v/>
      </c>
    </row>
    <row r="449" customFormat="false" ht="15" hidden="false" customHeight="false" outlineLevel="0" collapsed="false">
      <c r="A449" s="31"/>
      <c r="B449" s="29"/>
      <c r="C449" s="29"/>
      <c r="D449" s="29"/>
      <c r="E449" s="39"/>
      <c r="F449" s="29"/>
      <c r="G449" s="38" t="str">
        <f aca="false">IF(A449="","",DATE(YEAR(A449),MONTH(A449),1))</f>
        <v/>
      </c>
    </row>
    <row r="450" customFormat="false" ht="15" hidden="false" customHeight="false" outlineLevel="0" collapsed="false">
      <c r="A450" s="31"/>
      <c r="B450" s="29"/>
      <c r="C450" s="29"/>
      <c r="D450" s="29"/>
      <c r="E450" s="39"/>
      <c r="F450" s="29"/>
      <c r="G450" s="38" t="str">
        <f aca="false">IF(A450="","",DATE(YEAR(A450),MONTH(A450),1))</f>
        <v/>
      </c>
    </row>
    <row r="451" customFormat="false" ht="15" hidden="false" customHeight="false" outlineLevel="0" collapsed="false">
      <c r="A451" s="31"/>
      <c r="B451" s="29"/>
      <c r="C451" s="29"/>
      <c r="D451" s="29"/>
      <c r="E451" s="39"/>
      <c r="F451" s="29"/>
      <c r="G451" s="38" t="str">
        <f aca="false">IF(A451="","",DATE(YEAR(A451),MONTH(A451),1))</f>
        <v/>
      </c>
    </row>
    <row r="452" customFormat="false" ht="15" hidden="false" customHeight="false" outlineLevel="0" collapsed="false">
      <c r="A452" s="31"/>
      <c r="B452" s="29"/>
      <c r="C452" s="29"/>
      <c r="D452" s="29"/>
      <c r="E452" s="39"/>
      <c r="F452" s="29"/>
      <c r="G452" s="38" t="str">
        <f aca="false">IF(A452="","",DATE(YEAR(A452),MONTH(A452),1))</f>
        <v/>
      </c>
    </row>
    <row r="453" customFormat="false" ht="15" hidden="false" customHeight="false" outlineLevel="0" collapsed="false">
      <c r="A453" s="31"/>
      <c r="B453" s="29"/>
      <c r="C453" s="29"/>
      <c r="D453" s="29"/>
      <c r="E453" s="39"/>
      <c r="F453" s="29"/>
      <c r="G453" s="38" t="str">
        <f aca="false">IF(A453="","",DATE(YEAR(A453),MONTH(A453),1))</f>
        <v/>
      </c>
    </row>
    <row r="454" customFormat="false" ht="15" hidden="false" customHeight="false" outlineLevel="0" collapsed="false">
      <c r="A454" s="31"/>
      <c r="B454" s="29"/>
      <c r="C454" s="29"/>
      <c r="D454" s="29"/>
      <c r="E454" s="39"/>
      <c r="F454" s="29"/>
      <c r="G454" s="38" t="str">
        <f aca="false">IF(A454="","",DATE(YEAR(A454),MONTH(A454),1))</f>
        <v/>
      </c>
    </row>
    <row r="455" customFormat="false" ht="15" hidden="false" customHeight="false" outlineLevel="0" collapsed="false">
      <c r="A455" s="31"/>
      <c r="B455" s="29"/>
      <c r="C455" s="29"/>
      <c r="D455" s="29"/>
      <c r="E455" s="39"/>
      <c r="F455" s="29"/>
      <c r="G455" s="38" t="str">
        <f aca="false">IF(A455="","",DATE(YEAR(A455),MONTH(A455),1))</f>
        <v/>
      </c>
    </row>
    <row r="456" customFormat="false" ht="15" hidden="false" customHeight="false" outlineLevel="0" collapsed="false">
      <c r="A456" s="31"/>
      <c r="B456" s="29"/>
      <c r="C456" s="29"/>
      <c r="D456" s="29"/>
      <c r="E456" s="39"/>
      <c r="F456" s="29"/>
      <c r="G456" s="38" t="str">
        <f aca="false">IF(A456="","",DATE(YEAR(A456),MONTH(A456),1))</f>
        <v/>
      </c>
    </row>
    <row r="457" customFormat="false" ht="15" hidden="false" customHeight="false" outlineLevel="0" collapsed="false">
      <c r="A457" s="31"/>
      <c r="B457" s="29"/>
      <c r="C457" s="29"/>
      <c r="D457" s="29"/>
      <c r="E457" s="39"/>
      <c r="F457" s="29"/>
      <c r="G457" s="38" t="str">
        <f aca="false">IF(A457="","",DATE(YEAR(A457),MONTH(A457),1))</f>
        <v/>
      </c>
    </row>
    <row r="458" customFormat="false" ht="15" hidden="false" customHeight="false" outlineLevel="0" collapsed="false">
      <c r="A458" s="31"/>
      <c r="B458" s="29"/>
      <c r="C458" s="29"/>
      <c r="D458" s="29"/>
      <c r="E458" s="39"/>
      <c r="F458" s="29"/>
      <c r="G458" s="38" t="str">
        <f aca="false">IF(A458="","",DATE(YEAR(A458),MONTH(A458),1))</f>
        <v/>
      </c>
    </row>
    <row r="459" customFormat="false" ht="15" hidden="false" customHeight="false" outlineLevel="0" collapsed="false">
      <c r="A459" s="31"/>
      <c r="B459" s="29"/>
      <c r="C459" s="29"/>
      <c r="D459" s="29"/>
      <c r="E459" s="39"/>
      <c r="F459" s="29"/>
      <c r="G459" s="38" t="str">
        <f aca="false">IF(A459="","",DATE(YEAR(A459),MONTH(A459),1))</f>
        <v/>
      </c>
    </row>
    <row r="460" customFormat="false" ht="15" hidden="false" customHeight="false" outlineLevel="0" collapsed="false">
      <c r="A460" s="31"/>
      <c r="B460" s="29"/>
      <c r="C460" s="29"/>
      <c r="D460" s="29"/>
      <c r="E460" s="39"/>
      <c r="F460" s="29"/>
      <c r="G460" s="38" t="str">
        <f aca="false">IF(A460="","",DATE(YEAR(A460),MONTH(A460),1))</f>
        <v/>
      </c>
    </row>
    <row r="461" customFormat="false" ht="15" hidden="false" customHeight="false" outlineLevel="0" collapsed="false">
      <c r="A461" s="31"/>
      <c r="B461" s="29"/>
      <c r="C461" s="29"/>
      <c r="D461" s="29"/>
      <c r="E461" s="39"/>
      <c r="F461" s="29"/>
      <c r="G461" s="38" t="str">
        <f aca="false">IF(A461="","",DATE(YEAR(A461),MONTH(A461),1))</f>
        <v/>
      </c>
    </row>
    <row r="462" customFormat="false" ht="15" hidden="false" customHeight="false" outlineLevel="0" collapsed="false">
      <c r="A462" s="31"/>
      <c r="B462" s="29"/>
      <c r="C462" s="29"/>
      <c r="D462" s="29"/>
      <c r="E462" s="39"/>
      <c r="F462" s="29"/>
      <c r="G462" s="38" t="str">
        <f aca="false">IF(A462="","",DATE(YEAR(A462),MONTH(A462),1))</f>
        <v/>
      </c>
    </row>
    <row r="463" customFormat="false" ht="15" hidden="false" customHeight="false" outlineLevel="0" collapsed="false">
      <c r="A463" s="31"/>
      <c r="B463" s="29"/>
      <c r="C463" s="29"/>
      <c r="D463" s="29"/>
      <c r="E463" s="39"/>
      <c r="F463" s="29"/>
      <c r="G463" s="38" t="str">
        <f aca="false">IF(A463="","",DATE(YEAR(A463),MONTH(A463),1))</f>
        <v/>
      </c>
    </row>
    <row r="464" customFormat="false" ht="15" hidden="false" customHeight="false" outlineLevel="0" collapsed="false">
      <c r="A464" s="31"/>
      <c r="B464" s="29"/>
      <c r="C464" s="29"/>
      <c r="D464" s="29"/>
      <c r="E464" s="39"/>
      <c r="F464" s="29"/>
      <c r="G464" s="38" t="str">
        <f aca="false">IF(A464="","",DATE(YEAR(A464),MONTH(A464),1))</f>
        <v/>
      </c>
    </row>
    <row r="465" customFormat="false" ht="15" hidden="false" customHeight="false" outlineLevel="0" collapsed="false">
      <c r="A465" s="31"/>
      <c r="B465" s="29"/>
      <c r="C465" s="29"/>
      <c r="D465" s="29"/>
      <c r="E465" s="39"/>
      <c r="F465" s="29"/>
      <c r="G465" s="38" t="str">
        <f aca="false">IF(A465="","",DATE(YEAR(A465),MONTH(A465),1))</f>
        <v/>
      </c>
    </row>
    <row r="466" customFormat="false" ht="15" hidden="false" customHeight="false" outlineLevel="0" collapsed="false">
      <c r="A466" s="31"/>
      <c r="B466" s="29"/>
      <c r="C466" s="29"/>
      <c r="D466" s="29"/>
      <c r="E466" s="39"/>
      <c r="F466" s="29"/>
      <c r="G466" s="38" t="str">
        <f aca="false">IF(A466="","",DATE(YEAR(A466),MONTH(A466),1))</f>
        <v/>
      </c>
    </row>
    <row r="467" customFormat="false" ht="15" hidden="false" customHeight="false" outlineLevel="0" collapsed="false">
      <c r="A467" s="31"/>
      <c r="B467" s="29"/>
      <c r="C467" s="29"/>
      <c r="D467" s="29"/>
      <c r="E467" s="39"/>
      <c r="F467" s="29"/>
      <c r="G467" s="38" t="str">
        <f aca="false">IF(A467="","",DATE(YEAR(A467),MONTH(A467),1))</f>
        <v/>
      </c>
    </row>
    <row r="468" customFormat="false" ht="15" hidden="false" customHeight="false" outlineLevel="0" collapsed="false">
      <c r="A468" s="31"/>
      <c r="B468" s="29"/>
      <c r="C468" s="29"/>
      <c r="D468" s="29"/>
      <c r="E468" s="39"/>
      <c r="F468" s="29"/>
      <c r="G468" s="38" t="str">
        <f aca="false">IF(A468="","",DATE(YEAR(A468),MONTH(A468),1))</f>
        <v/>
      </c>
    </row>
    <row r="469" customFormat="false" ht="15" hidden="false" customHeight="false" outlineLevel="0" collapsed="false">
      <c r="A469" s="31"/>
      <c r="B469" s="29"/>
      <c r="C469" s="29"/>
      <c r="D469" s="29"/>
      <c r="E469" s="39"/>
      <c r="F469" s="29"/>
      <c r="G469" s="38" t="str">
        <f aca="false">IF(A469="","",DATE(YEAR(A469),MONTH(A469),1))</f>
        <v/>
      </c>
    </row>
    <row r="470" customFormat="false" ht="15" hidden="false" customHeight="false" outlineLevel="0" collapsed="false">
      <c r="A470" s="31"/>
      <c r="B470" s="29"/>
      <c r="C470" s="29"/>
      <c r="D470" s="29"/>
      <c r="E470" s="39"/>
      <c r="F470" s="29"/>
      <c r="G470" s="38" t="str">
        <f aca="false">IF(A470="","",DATE(YEAR(A470),MONTH(A470),1))</f>
        <v/>
      </c>
    </row>
    <row r="471" customFormat="false" ht="15" hidden="false" customHeight="false" outlineLevel="0" collapsed="false">
      <c r="A471" s="31"/>
      <c r="B471" s="29"/>
      <c r="C471" s="29"/>
      <c r="D471" s="29"/>
      <c r="E471" s="39"/>
      <c r="F471" s="29"/>
      <c r="G471" s="38" t="str">
        <f aca="false">IF(A471="","",DATE(YEAR(A471),MONTH(A471),1))</f>
        <v/>
      </c>
    </row>
    <row r="472" customFormat="false" ht="15" hidden="false" customHeight="false" outlineLevel="0" collapsed="false">
      <c r="A472" s="31"/>
      <c r="B472" s="29"/>
      <c r="C472" s="29"/>
      <c r="D472" s="29"/>
      <c r="E472" s="39"/>
      <c r="F472" s="29"/>
      <c r="G472" s="38" t="str">
        <f aca="false">IF(A472="","",DATE(YEAR(A472),MONTH(A472),1))</f>
        <v/>
      </c>
    </row>
    <row r="473" customFormat="false" ht="15" hidden="false" customHeight="false" outlineLevel="0" collapsed="false">
      <c r="A473" s="31"/>
      <c r="B473" s="29"/>
      <c r="C473" s="29"/>
      <c r="D473" s="29"/>
      <c r="E473" s="39"/>
      <c r="F473" s="29"/>
      <c r="G473" s="38" t="str">
        <f aca="false">IF(A473="","",DATE(YEAR(A473),MONTH(A473),1))</f>
        <v/>
      </c>
    </row>
    <row r="474" customFormat="false" ht="15" hidden="false" customHeight="false" outlineLevel="0" collapsed="false">
      <c r="A474" s="31"/>
      <c r="B474" s="29"/>
      <c r="C474" s="29"/>
      <c r="D474" s="29"/>
      <c r="E474" s="39"/>
      <c r="F474" s="29"/>
      <c r="G474" s="38" t="str">
        <f aca="false">IF(A474="","",DATE(YEAR(A474),MONTH(A474),1))</f>
        <v/>
      </c>
    </row>
    <row r="475" customFormat="false" ht="15" hidden="false" customHeight="false" outlineLevel="0" collapsed="false">
      <c r="A475" s="31"/>
      <c r="B475" s="29"/>
      <c r="C475" s="29"/>
      <c r="D475" s="29"/>
      <c r="E475" s="39"/>
      <c r="F475" s="29"/>
      <c r="G475" s="38" t="str">
        <f aca="false">IF(A475="","",DATE(YEAR(A475),MONTH(A475),1))</f>
        <v/>
      </c>
    </row>
    <row r="476" customFormat="false" ht="15" hidden="false" customHeight="false" outlineLevel="0" collapsed="false">
      <c r="A476" s="31"/>
      <c r="B476" s="29"/>
      <c r="C476" s="29"/>
      <c r="D476" s="29"/>
      <c r="E476" s="39"/>
      <c r="F476" s="29"/>
      <c r="G476" s="38" t="str">
        <f aca="false">IF(A476="","",DATE(YEAR(A476),MONTH(A476),1))</f>
        <v/>
      </c>
    </row>
    <row r="477" customFormat="false" ht="15" hidden="false" customHeight="false" outlineLevel="0" collapsed="false">
      <c r="A477" s="31"/>
      <c r="B477" s="29"/>
      <c r="C477" s="29"/>
      <c r="D477" s="29"/>
      <c r="E477" s="39"/>
      <c r="F477" s="29"/>
      <c r="G477" s="38" t="str">
        <f aca="false">IF(A477="","",DATE(YEAR(A477),MONTH(A477),1))</f>
        <v/>
      </c>
    </row>
    <row r="478" customFormat="false" ht="15" hidden="false" customHeight="false" outlineLevel="0" collapsed="false">
      <c r="A478" s="31"/>
      <c r="B478" s="29"/>
      <c r="C478" s="29"/>
      <c r="D478" s="29"/>
      <c r="E478" s="39"/>
      <c r="F478" s="29"/>
      <c r="G478" s="38" t="str">
        <f aca="false">IF(A478="","",DATE(YEAR(A478),MONTH(A478),1))</f>
        <v/>
      </c>
    </row>
    <row r="479" customFormat="false" ht="15" hidden="false" customHeight="false" outlineLevel="0" collapsed="false">
      <c r="A479" s="31"/>
      <c r="B479" s="29"/>
      <c r="C479" s="29"/>
      <c r="D479" s="29"/>
      <c r="E479" s="39"/>
      <c r="F479" s="29"/>
      <c r="G479" s="38" t="str">
        <f aca="false">IF(A479="","",DATE(YEAR(A479),MONTH(A479),1))</f>
        <v/>
      </c>
    </row>
    <row r="480" customFormat="false" ht="15" hidden="false" customHeight="false" outlineLevel="0" collapsed="false">
      <c r="A480" s="31"/>
      <c r="B480" s="29"/>
      <c r="C480" s="29"/>
      <c r="D480" s="29"/>
      <c r="E480" s="39"/>
      <c r="F480" s="29"/>
      <c r="G480" s="38" t="str">
        <f aca="false">IF(A480="","",DATE(YEAR(A480),MONTH(A480),1))</f>
        <v/>
      </c>
    </row>
    <row r="481" customFormat="false" ht="15" hidden="false" customHeight="false" outlineLevel="0" collapsed="false">
      <c r="A481" s="31"/>
      <c r="B481" s="29"/>
      <c r="C481" s="29"/>
      <c r="D481" s="29"/>
      <c r="E481" s="39"/>
      <c r="F481" s="29"/>
      <c r="G481" s="38" t="str">
        <f aca="false">IF(A481="","",DATE(YEAR(A481),MONTH(A481),1))</f>
        <v/>
      </c>
    </row>
    <row r="482" customFormat="false" ht="15" hidden="false" customHeight="false" outlineLevel="0" collapsed="false">
      <c r="A482" s="31"/>
      <c r="B482" s="29"/>
      <c r="C482" s="29"/>
      <c r="D482" s="29"/>
      <c r="E482" s="39"/>
      <c r="F482" s="29"/>
      <c r="G482" s="38" t="str">
        <f aca="false">IF(A482="","",DATE(YEAR(A482),MONTH(A482),1))</f>
        <v/>
      </c>
    </row>
    <row r="483" customFormat="false" ht="15" hidden="false" customHeight="false" outlineLevel="0" collapsed="false">
      <c r="A483" s="31"/>
      <c r="B483" s="29"/>
      <c r="C483" s="29"/>
      <c r="D483" s="29"/>
      <c r="E483" s="39"/>
      <c r="F483" s="29"/>
      <c r="G483" s="38" t="str">
        <f aca="false">IF(A483="","",DATE(YEAR(A483),MONTH(A483),1))</f>
        <v/>
      </c>
    </row>
    <row r="484" customFormat="false" ht="15" hidden="false" customHeight="false" outlineLevel="0" collapsed="false">
      <c r="A484" s="31"/>
      <c r="B484" s="29"/>
      <c r="C484" s="29"/>
      <c r="D484" s="29"/>
      <c r="E484" s="39"/>
      <c r="F484" s="29"/>
      <c r="G484" s="38" t="str">
        <f aca="false">IF(A484="","",DATE(YEAR(A484),MONTH(A484),1))</f>
        <v/>
      </c>
    </row>
    <row r="485" customFormat="false" ht="15" hidden="false" customHeight="false" outlineLevel="0" collapsed="false">
      <c r="A485" s="31"/>
      <c r="B485" s="29"/>
      <c r="C485" s="29"/>
      <c r="D485" s="29"/>
      <c r="E485" s="39"/>
      <c r="F485" s="29"/>
      <c r="G485" s="38" t="str">
        <f aca="false">IF(A485="","",DATE(YEAR(A485),MONTH(A485),1))</f>
        <v/>
      </c>
    </row>
    <row r="486" customFormat="false" ht="15" hidden="false" customHeight="false" outlineLevel="0" collapsed="false">
      <c r="A486" s="31"/>
      <c r="B486" s="29"/>
      <c r="C486" s="29"/>
      <c r="D486" s="29"/>
      <c r="E486" s="39"/>
      <c r="F486" s="29"/>
      <c r="G486" s="38" t="str">
        <f aca="false">IF(A486="","",DATE(YEAR(A486),MONTH(A486),1))</f>
        <v/>
      </c>
    </row>
    <row r="487" customFormat="false" ht="15" hidden="false" customHeight="false" outlineLevel="0" collapsed="false">
      <c r="A487" s="31"/>
      <c r="B487" s="29"/>
      <c r="C487" s="29"/>
      <c r="D487" s="29"/>
      <c r="E487" s="39"/>
      <c r="F487" s="29"/>
      <c r="G487" s="38" t="str">
        <f aca="false">IF(A487="","",DATE(YEAR(A487),MONTH(A487),1))</f>
        <v/>
      </c>
    </row>
    <row r="488" customFormat="false" ht="15" hidden="false" customHeight="false" outlineLevel="0" collapsed="false">
      <c r="A488" s="31"/>
      <c r="B488" s="29"/>
      <c r="C488" s="29"/>
      <c r="D488" s="29"/>
      <c r="E488" s="39"/>
      <c r="F488" s="29"/>
      <c r="G488" s="38" t="str">
        <f aca="false">IF(A488="","",DATE(YEAR(A488),MONTH(A488),1))</f>
        <v/>
      </c>
    </row>
    <row r="489" customFormat="false" ht="15" hidden="false" customHeight="false" outlineLevel="0" collapsed="false">
      <c r="A489" s="31"/>
      <c r="B489" s="29"/>
      <c r="C489" s="29"/>
      <c r="D489" s="29"/>
      <c r="E489" s="39"/>
      <c r="F489" s="29"/>
      <c r="G489" s="38" t="str">
        <f aca="false">IF(A489="","",DATE(YEAR(A489),MONTH(A489),1))</f>
        <v/>
      </c>
    </row>
    <row r="490" customFormat="false" ht="15" hidden="false" customHeight="false" outlineLevel="0" collapsed="false">
      <c r="A490" s="31"/>
      <c r="B490" s="29"/>
      <c r="C490" s="29"/>
      <c r="D490" s="29"/>
      <c r="E490" s="39"/>
      <c r="F490" s="29"/>
      <c r="G490" s="38" t="str">
        <f aca="false">IF(A490="","",DATE(YEAR(A490),MONTH(A490),1))</f>
        <v/>
      </c>
    </row>
    <row r="491" customFormat="false" ht="15" hidden="false" customHeight="false" outlineLevel="0" collapsed="false">
      <c r="A491" s="31"/>
      <c r="B491" s="29"/>
      <c r="C491" s="29"/>
      <c r="D491" s="29"/>
      <c r="E491" s="39"/>
      <c r="F491" s="29"/>
      <c r="G491" s="38" t="str">
        <f aca="false">IF(A491="","",DATE(YEAR(A491),MONTH(A491),1))</f>
        <v/>
      </c>
    </row>
    <row r="492" customFormat="false" ht="15" hidden="false" customHeight="false" outlineLevel="0" collapsed="false">
      <c r="A492" s="31"/>
      <c r="B492" s="29"/>
      <c r="C492" s="29"/>
      <c r="D492" s="29"/>
      <c r="E492" s="39"/>
      <c r="F492" s="29"/>
      <c r="G492" s="38" t="str">
        <f aca="false">IF(A492="","",DATE(YEAR(A492),MONTH(A492),1))</f>
        <v/>
      </c>
    </row>
    <row r="493" customFormat="false" ht="15" hidden="false" customHeight="false" outlineLevel="0" collapsed="false">
      <c r="A493" s="31"/>
      <c r="B493" s="29"/>
      <c r="C493" s="29"/>
      <c r="D493" s="29"/>
      <c r="E493" s="39"/>
      <c r="F493" s="29"/>
      <c r="G493" s="38" t="str">
        <f aca="false">IF(A493="","",DATE(YEAR(A493),MONTH(A493),1))</f>
        <v/>
      </c>
    </row>
    <row r="494" customFormat="false" ht="15" hidden="false" customHeight="false" outlineLevel="0" collapsed="false">
      <c r="A494" s="31"/>
      <c r="B494" s="29"/>
      <c r="C494" s="29"/>
      <c r="D494" s="29"/>
      <c r="E494" s="39"/>
      <c r="F494" s="29"/>
      <c r="G494" s="38" t="str">
        <f aca="false">IF(A494="","",DATE(YEAR(A494),MONTH(A494),1))</f>
        <v/>
      </c>
    </row>
    <row r="495" customFormat="false" ht="15" hidden="false" customHeight="false" outlineLevel="0" collapsed="false">
      <c r="A495" s="31"/>
      <c r="B495" s="29"/>
      <c r="C495" s="29"/>
      <c r="D495" s="29"/>
      <c r="E495" s="39"/>
      <c r="F495" s="29"/>
      <c r="G495" s="38" t="str">
        <f aca="false">IF(A495="","",DATE(YEAR(A495),MONTH(A495),1))</f>
        <v/>
      </c>
    </row>
    <row r="496" customFormat="false" ht="15" hidden="false" customHeight="false" outlineLevel="0" collapsed="false">
      <c r="A496" s="31"/>
      <c r="B496" s="29"/>
      <c r="C496" s="29"/>
      <c r="D496" s="29"/>
      <c r="E496" s="39"/>
      <c r="F496" s="29"/>
      <c r="G496" s="38" t="str">
        <f aca="false">IF(A496="","",DATE(YEAR(A496),MONTH(A496),1))</f>
        <v/>
      </c>
    </row>
    <row r="497" customFormat="false" ht="15" hidden="false" customHeight="false" outlineLevel="0" collapsed="false">
      <c r="A497" s="31"/>
      <c r="B497" s="29"/>
      <c r="C497" s="29"/>
      <c r="D497" s="29"/>
      <c r="E497" s="39"/>
      <c r="F497" s="29"/>
      <c r="G497" s="38" t="str">
        <f aca="false">IF(A497="","",DATE(YEAR(A497),MONTH(A497),1))</f>
        <v/>
      </c>
    </row>
    <row r="498" customFormat="false" ht="15" hidden="false" customHeight="false" outlineLevel="0" collapsed="false">
      <c r="A498" s="31"/>
      <c r="B498" s="29"/>
      <c r="C498" s="29"/>
      <c r="D498" s="29"/>
      <c r="E498" s="39"/>
      <c r="F498" s="29"/>
      <c r="G498" s="38" t="str">
        <f aca="false">IF(A498="","",DATE(YEAR(A498),MONTH(A498),1))</f>
        <v/>
      </c>
    </row>
    <row r="499" customFormat="false" ht="15" hidden="false" customHeight="false" outlineLevel="0" collapsed="false">
      <c r="A499" s="31"/>
      <c r="B499" s="29"/>
      <c r="C499" s="29"/>
      <c r="D499" s="29"/>
      <c r="E499" s="39"/>
      <c r="F499" s="29"/>
      <c r="G499" s="38" t="str">
        <f aca="false">IF(A499="","",DATE(YEAR(A499),MONTH(A499),1))</f>
        <v/>
      </c>
    </row>
    <row r="500" customFormat="false" ht="15" hidden="false" customHeight="false" outlineLevel="0" collapsed="false">
      <c r="A500" s="31"/>
      <c r="B500" s="29"/>
      <c r="C500" s="29"/>
      <c r="D500" s="29"/>
      <c r="E500" s="39"/>
      <c r="F500" s="29"/>
      <c r="G500" s="38" t="str">
        <f aca="false">IF(A500="","",DATE(YEAR(A500),MONTH(A500),1))</f>
        <v/>
      </c>
    </row>
    <row r="501" customFormat="false" ht="15" hidden="false" customHeight="false" outlineLevel="0" collapsed="false">
      <c r="A501" s="31"/>
      <c r="B501" s="29"/>
      <c r="C501" s="29"/>
      <c r="D501" s="29"/>
      <c r="E501" s="39"/>
      <c r="F501" s="29"/>
      <c r="G501" s="38" t="str">
        <f aca="false">IF(A501="","",DATE(YEAR(A501),MONTH(A501),1))</f>
        <v/>
      </c>
    </row>
    <row r="502" customFormat="false" ht="15" hidden="false" customHeight="false" outlineLevel="0" collapsed="false">
      <c r="A502" s="31"/>
      <c r="B502" s="29"/>
      <c r="C502" s="29"/>
      <c r="D502" s="29"/>
      <c r="E502" s="39"/>
      <c r="F502" s="29"/>
      <c r="G502" s="38" t="str">
        <f aca="false">IF(A502="","",DATE(YEAR(A502),MONTH(A502),1))</f>
        <v/>
      </c>
    </row>
    <row r="503" customFormat="false" ht="15" hidden="false" customHeight="false" outlineLevel="0" collapsed="false">
      <c r="A503" s="31"/>
      <c r="B503" s="29"/>
      <c r="C503" s="29"/>
      <c r="D503" s="29"/>
      <c r="E503" s="39"/>
      <c r="F503" s="29"/>
      <c r="G503" s="38" t="str">
        <f aca="false">IF(A503="","",DATE(YEAR(A503),MONTH(A503),1))</f>
        <v/>
      </c>
    </row>
    <row r="504" customFormat="false" ht="15" hidden="false" customHeight="false" outlineLevel="0" collapsed="false">
      <c r="A504" s="31"/>
      <c r="B504" s="29"/>
      <c r="C504" s="29"/>
      <c r="D504" s="29"/>
      <c r="E504" s="39"/>
      <c r="F504" s="29"/>
      <c r="G504" s="38" t="str">
        <f aca="false">IF(A504="","",DATE(YEAR(A504),MONTH(A504),1))</f>
        <v/>
      </c>
    </row>
    <row r="505" customFormat="false" ht="15" hidden="false" customHeight="false" outlineLevel="0" collapsed="false">
      <c r="A505" s="31"/>
      <c r="B505" s="29"/>
      <c r="C505" s="29"/>
      <c r="D505" s="29"/>
      <c r="E505" s="39"/>
      <c r="F505" s="29"/>
      <c r="G505" s="38" t="str">
        <f aca="false">IF(A505="","",DATE(YEAR(A505),MONTH(A505),1))</f>
        <v/>
      </c>
    </row>
    <row r="506" customFormat="false" ht="15" hidden="false" customHeight="false" outlineLevel="0" collapsed="false">
      <c r="A506" s="31"/>
      <c r="B506" s="29"/>
      <c r="C506" s="29"/>
      <c r="D506" s="29"/>
      <c r="E506" s="39"/>
      <c r="F506" s="29"/>
      <c r="G506" s="38" t="str">
        <f aca="false">IF(A506="","",DATE(YEAR(A506),MONTH(A506),1))</f>
        <v/>
      </c>
    </row>
    <row r="507" customFormat="false" ht="15" hidden="false" customHeight="false" outlineLevel="0" collapsed="false">
      <c r="A507" s="31"/>
      <c r="B507" s="29"/>
      <c r="C507" s="29"/>
      <c r="D507" s="29"/>
      <c r="E507" s="39"/>
      <c r="F507" s="29"/>
      <c r="G507" s="38" t="str">
        <f aca="false">IF(A507="","",DATE(YEAR(A507),MONTH(A507),1))</f>
        <v/>
      </c>
    </row>
    <row r="508" customFormat="false" ht="15" hidden="false" customHeight="false" outlineLevel="0" collapsed="false">
      <c r="A508" s="31"/>
      <c r="B508" s="29"/>
      <c r="C508" s="29"/>
      <c r="D508" s="29"/>
      <c r="E508" s="39"/>
      <c r="F508" s="29"/>
      <c r="G508" s="38" t="str">
        <f aca="false">IF(A508="","",DATE(YEAR(A508),MONTH(A508),1))</f>
        <v/>
      </c>
    </row>
    <row r="509" customFormat="false" ht="15" hidden="false" customHeight="false" outlineLevel="0" collapsed="false">
      <c r="A509" s="31"/>
      <c r="B509" s="29"/>
      <c r="C509" s="29"/>
      <c r="D509" s="29"/>
      <c r="E509" s="39"/>
      <c r="F509" s="29"/>
      <c r="G509" s="38" t="str">
        <f aca="false">IF(A509="","",DATE(YEAR(A509),MONTH(A509),1))</f>
        <v/>
      </c>
    </row>
    <row r="510" customFormat="false" ht="15" hidden="false" customHeight="false" outlineLevel="0" collapsed="false">
      <c r="A510" s="31"/>
      <c r="B510" s="29"/>
      <c r="C510" s="29"/>
      <c r="D510" s="29"/>
      <c r="E510" s="39"/>
      <c r="F510" s="29"/>
      <c r="G510" s="38" t="str">
        <f aca="false">IF(A510="","",DATE(YEAR(A510),MONTH(A510),1))</f>
        <v/>
      </c>
    </row>
    <row r="511" customFormat="false" ht="15" hidden="false" customHeight="false" outlineLevel="0" collapsed="false">
      <c r="A511" s="31"/>
      <c r="B511" s="29"/>
      <c r="C511" s="29"/>
      <c r="D511" s="29"/>
      <c r="E511" s="39"/>
      <c r="F511" s="29"/>
      <c r="G511" s="38" t="str">
        <f aca="false">IF(A511="","",DATE(YEAR(A511),MONTH(A511),1))</f>
        <v/>
      </c>
    </row>
    <row r="512" customFormat="false" ht="15" hidden="false" customHeight="false" outlineLevel="0" collapsed="false">
      <c r="A512" s="31"/>
      <c r="B512" s="29"/>
      <c r="C512" s="29"/>
      <c r="D512" s="29"/>
      <c r="E512" s="39"/>
      <c r="F512" s="29"/>
      <c r="G512" s="38" t="str">
        <f aca="false">IF(A512="","",DATE(YEAR(A512),MONTH(A512),1))</f>
        <v/>
      </c>
    </row>
    <row r="513" customFormat="false" ht="15" hidden="false" customHeight="false" outlineLevel="0" collapsed="false">
      <c r="A513" s="31"/>
      <c r="B513" s="29"/>
      <c r="C513" s="29"/>
      <c r="D513" s="29"/>
      <c r="E513" s="39"/>
      <c r="F513" s="29"/>
      <c r="G513" s="38" t="str">
        <f aca="false">IF(A513="","",DATE(YEAR(A513),MONTH(A513),1))</f>
        <v/>
      </c>
    </row>
    <row r="514" customFormat="false" ht="15" hidden="false" customHeight="false" outlineLevel="0" collapsed="false">
      <c r="A514" s="31"/>
      <c r="B514" s="29"/>
      <c r="C514" s="29"/>
      <c r="D514" s="29"/>
      <c r="E514" s="39"/>
      <c r="F514" s="29"/>
      <c r="G514" s="38" t="str">
        <f aca="false">IF(A514="","",DATE(YEAR(A514),MONTH(A514),1))</f>
        <v/>
      </c>
    </row>
    <row r="515" customFormat="false" ht="15" hidden="false" customHeight="false" outlineLevel="0" collapsed="false">
      <c r="A515" s="31"/>
      <c r="B515" s="29"/>
      <c r="C515" s="29"/>
      <c r="D515" s="29"/>
      <c r="E515" s="39"/>
      <c r="F515" s="29"/>
      <c r="G515" s="38" t="str">
        <f aca="false">IF(A515="","",DATE(YEAR(A515),MONTH(A515),1))</f>
        <v/>
      </c>
    </row>
    <row r="516" customFormat="false" ht="15" hidden="false" customHeight="false" outlineLevel="0" collapsed="false">
      <c r="A516" s="31"/>
      <c r="B516" s="29"/>
      <c r="C516" s="29"/>
      <c r="D516" s="29"/>
      <c r="E516" s="39"/>
      <c r="F516" s="29"/>
      <c r="G516" s="38" t="str">
        <f aca="false">IF(A516="","",DATE(YEAR(A516),MONTH(A516),1))</f>
        <v/>
      </c>
    </row>
    <row r="517" customFormat="false" ht="15" hidden="false" customHeight="false" outlineLevel="0" collapsed="false">
      <c r="A517" s="31"/>
      <c r="B517" s="29"/>
      <c r="C517" s="29"/>
      <c r="D517" s="29"/>
      <c r="E517" s="39"/>
      <c r="F517" s="29"/>
      <c r="G517" s="38" t="str">
        <f aca="false">IF(A517="","",DATE(YEAR(A517),MONTH(A517),1))</f>
        <v/>
      </c>
    </row>
    <row r="518" customFormat="false" ht="15" hidden="false" customHeight="false" outlineLevel="0" collapsed="false">
      <c r="A518" s="31"/>
      <c r="B518" s="29"/>
      <c r="C518" s="29"/>
      <c r="D518" s="29"/>
      <c r="E518" s="39"/>
      <c r="F518" s="29"/>
      <c r="G518" s="38" t="str">
        <f aca="false">IF(A518="","",DATE(YEAR(A518),MONTH(A518),1))</f>
        <v/>
      </c>
    </row>
    <row r="519" customFormat="false" ht="15" hidden="false" customHeight="false" outlineLevel="0" collapsed="false">
      <c r="A519" s="31"/>
      <c r="B519" s="29"/>
      <c r="C519" s="29"/>
      <c r="D519" s="29"/>
      <c r="E519" s="39"/>
      <c r="F519" s="29"/>
      <c r="G519" s="38" t="str">
        <f aca="false">IF(A519="","",DATE(YEAR(A519),MONTH(A519),1))</f>
        <v/>
      </c>
    </row>
    <row r="520" customFormat="false" ht="15" hidden="false" customHeight="false" outlineLevel="0" collapsed="false">
      <c r="A520" s="31"/>
      <c r="B520" s="29"/>
      <c r="C520" s="29"/>
      <c r="D520" s="29"/>
      <c r="E520" s="39"/>
      <c r="F520" s="29"/>
      <c r="G520" s="38" t="str">
        <f aca="false">IF(A520="","",DATE(YEAR(A520),MONTH(A520),1))</f>
        <v/>
      </c>
    </row>
    <row r="521" customFormat="false" ht="15" hidden="false" customHeight="false" outlineLevel="0" collapsed="false">
      <c r="A521" s="31"/>
      <c r="B521" s="29"/>
      <c r="C521" s="29"/>
      <c r="D521" s="29"/>
      <c r="E521" s="39"/>
      <c r="F521" s="29"/>
      <c r="G521" s="38" t="str">
        <f aca="false">IF(A521="","",DATE(YEAR(A521),MONTH(A521),1))</f>
        <v/>
      </c>
    </row>
    <row r="522" customFormat="false" ht="15" hidden="false" customHeight="false" outlineLevel="0" collapsed="false">
      <c r="A522" s="31"/>
      <c r="B522" s="29"/>
      <c r="C522" s="29"/>
      <c r="D522" s="29"/>
      <c r="E522" s="39"/>
      <c r="F522" s="29"/>
      <c r="G522" s="38" t="str">
        <f aca="false">IF(A522="","",DATE(YEAR(A522),MONTH(A522),1))</f>
        <v/>
      </c>
    </row>
    <row r="523" customFormat="false" ht="15" hidden="false" customHeight="false" outlineLevel="0" collapsed="false">
      <c r="A523" s="31"/>
      <c r="B523" s="29"/>
      <c r="C523" s="29"/>
      <c r="D523" s="29"/>
      <c r="E523" s="39"/>
      <c r="F523" s="29"/>
      <c r="G523" s="38" t="str">
        <f aca="false">IF(A523="","",DATE(YEAR(A523),MONTH(A523),1))</f>
        <v/>
      </c>
    </row>
    <row r="524" customFormat="false" ht="15" hidden="false" customHeight="false" outlineLevel="0" collapsed="false">
      <c r="A524" s="31"/>
      <c r="B524" s="29"/>
      <c r="C524" s="29"/>
      <c r="D524" s="29"/>
      <c r="E524" s="39"/>
      <c r="F524" s="29"/>
      <c r="G524" s="38" t="str">
        <f aca="false">IF(A524="","",DATE(YEAR(A524),MONTH(A524),1))</f>
        <v/>
      </c>
    </row>
    <row r="525" customFormat="false" ht="15" hidden="false" customHeight="false" outlineLevel="0" collapsed="false">
      <c r="A525" s="31"/>
      <c r="B525" s="29"/>
      <c r="C525" s="29"/>
      <c r="D525" s="29"/>
      <c r="E525" s="39"/>
      <c r="F525" s="29"/>
      <c r="G525" s="38" t="str">
        <f aca="false">IF(A525="","",DATE(YEAR(A525),MONTH(A525),1))</f>
        <v/>
      </c>
    </row>
    <row r="526" customFormat="false" ht="15" hidden="false" customHeight="false" outlineLevel="0" collapsed="false">
      <c r="A526" s="31"/>
      <c r="B526" s="29"/>
      <c r="C526" s="29"/>
      <c r="D526" s="29"/>
      <c r="E526" s="39"/>
      <c r="F526" s="29"/>
      <c r="G526" s="38" t="str">
        <f aca="false">IF(A526="","",DATE(YEAR(A526),MONTH(A526),1))</f>
        <v/>
      </c>
    </row>
    <row r="527" customFormat="false" ht="15" hidden="false" customHeight="false" outlineLevel="0" collapsed="false">
      <c r="A527" s="31"/>
      <c r="B527" s="29"/>
      <c r="C527" s="29"/>
      <c r="D527" s="29"/>
      <c r="E527" s="39"/>
      <c r="F527" s="29"/>
      <c r="G527" s="38" t="str">
        <f aca="false">IF(A527="","",DATE(YEAR(A527),MONTH(A527),1))</f>
        <v/>
      </c>
    </row>
    <row r="528" customFormat="false" ht="15" hidden="false" customHeight="false" outlineLevel="0" collapsed="false">
      <c r="A528" s="31"/>
      <c r="B528" s="29"/>
      <c r="C528" s="29"/>
      <c r="D528" s="29"/>
      <c r="E528" s="39"/>
      <c r="F528" s="29"/>
      <c r="G528" s="38" t="str">
        <f aca="false">IF(A528="","",DATE(YEAR(A528),MONTH(A528),1))</f>
        <v/>
      </c>
    </row>
    <row r="529" customFormat="false" ht="15" hidden="false" customHeight="false" outlineLevel="0" collapsed="false">
      <c r="A529" s="31"/>
      <c r="B529" s="29"/>
      <c r="C529" s="29"/>
      <c r="D529" s="29"/>
      <c r="E529" s="39"/>
      <c r="F529" s="29"/>
      <c r="G529" s="38" t="str">
        <f aca="false">IF(A529="","",DATE(YEAR(A529),MONTH(A529),1))</f>
        <v/>
      </c>
    </row>
    <row r="530" customFormat="false" ht="15" hidden="false" customHeight="false" outlineLevel="0" collapsed="false">
      <c r="A530" s="31"/>
      <c r="B530" s="29"/>
      <c r="C530" s="29"/>
      <c r="D530" s="29"/>
      <c r="E530" s="39"/>
      <c r="F530" s="29"/>
      <c r="G530" s="38" t="str">
        <f aca="false">IF(A530="","",DATE(YEAR(A530),MONTH(A530),1))</f>
        <v/>
      </c>
    </row>
    <row r="531" customFormat="false" ht="15" hidden="false" customHeight="false" outlineLevel="0" collapsed="false">
      <c r="A531" s="31"/>
      <c r="B531" s="29"/>
      <c r="C531" s="29"/>
      <c r="D531" s="29"/>
      <c r="E531" s="39"/>
      <c r="F531" s="29"/>
      <c r="G531" s="38" t="str">
        <f aca="false">IF(A531="","",DATE(YEAR(A531),MONTH(A531),1))</f>
        <v/>
      </c>
    </row>
    <row r="532" customFormat="false" ht="15" hidden="false" customHeight="false" outlineLevel="0" collapsed="false">
      <c r="A532" s="31"/>
      <c r="B532" s="29"/>
      <c r="C532" s="29"/>
      <c r="D532" s="29"/>
      <c r="E532" s="39"/>
      <c r="F532" s="29"/>
      <c r="G532" s="38" t="str">
        <f aca="false">IF(A532="","",DATE(YEAR(A532),MONTH(A532),1))</f>
        <v/>
      </c>
    </row>
    <row r="533" customFormat="false" ht="15" hidden="false" customHeight="false" outlineLevel="0" collapsed="false">
      <c r="A533" s="31"/>
      <c r="B533" s="29"/>
      <c r="C533" s="29"/>
      <c r="D533" s="29"/>
      <c r="E533" s="39"/>
      <c r="F533" s="29"/>
      <c r="G533" s="38" t="str">
        <f aca="false">IF(A533="","",DATE(YEAR(A533),MONTH(A533),1))</f>
        <v/>
      </c>
    </row>
    <row r="534" customFormat="false" ht="15" hidden="false" customHeight="false" outlineLevel="0" collapsed="false">
      <c r="A534" s="31"/>
      <c r="B534" s="29"/>
      <c r="C534" s="29"/>
      <c r="D534" s="29"/>
      <c r="E534" s="39"/>
      <c r="F534" s="29"/>
      <c r="G534" s="38" t="str">
        <f aca="false">IF(A534="","",DATE(YEAR(A534),MONTH(A534),1))</f>
        <v/>
      </c>
    </row>
    <row r="535" customFormat="false" ht="15" hidden="false" customHeight="false" outlineLevel="0" collapsed="false">
      <c r="A535" s="31"/>
      <c r="B535" s="29"/>
      <c r="C535" s="29"/>
      <c r="D535" s="29"/>
      <c r="E535" s="39"/>
      <c r="F535" s="29"/>
      <c r="G535" s="38" t="str">
        <f aca="false">IF(A535="","",DATE(YEAR(A535),MONTH(A535),1))</f>
        <v/>
      </c>
    </row>
    <row r="536" customFormat="false" ht="15" hidden="false" customHeight="false" outlineLevel="0" collapsed="false">
      <c r="A536" s="31"/>
      <c r="B536" s="29"/>
      <c r="C536" s="29"/>
      <c r="D536" s="29"/>
      <c r="E536" s="39"/>
      <c r="F536" s="29"/>
      <c r="G536" s="38" t="str">
        <f aca="false">IF(A536="","",DATE(YEAR(A536),MONTH(A536),1))</f>
        <v/>
      </c>
    </row>
    <row r="537" customFormat="false" ht="15" hidden="false" customHeight="false" outlineLevel="0" collapsed="false">
      <c r="A537" s="31"/>
      <c r="B537" s="29"/>
      <c r="C537" s="29"/>
      <c r="D537" s="29"/>
      <c r="E537" s="39"/>
      <c r="F537" s="29"/>
      <c r="G537" s="38" t="str">
        <f aca="false">IF(A537="","",DATE(YEAR(A537),MONTH(A537),1))</f>
        <v/>
      </c>
    </row>
    <row r="538" customFormat="false" ht="15" hidden="false" customHeight="false" outlineLevel="0" collapsed="false">
      <c r="A538" s="31"/>
      <c r="B538" s="29"/>
      <c r="C538" s="29"/>
      <c r="D538" s="29"/>
      <c r="E538" s="39"/>
      <c r="F538" s="29"/>
      <c r="G538" s="38" t="str">
        <f aca="false">IF(A538="","",DATE(YEAR(A538),MONTH(A538),1))</f>
        <v/>
      </c>
    </row>
    <row r="539" customFormat="false" ht="15" hidden="false" customHeight="false" outlineLevel="0" collapsed="false">
      <c r="A539" s="31"/>
      <c r="B539" s="29"/>
      <c r="C539" s="29"/>
      <c r="D539" s="29"/>
      <c r="E539" s="39"/>
      <c r="F539" s="29"/>
      <c r="G539" s="38" t="str">
        <f aca="false">IF(A539="","",DATE(YEAR(A539),MONTH(A539),1))</f>
        <v/>
      </c>
    </row>
    <row r="540" customFormat="false" ht="15" hidden="false" customHeight="false" outlineLevel="0" collapsed="false">
      <c r="A540" s="31"/>
      <c r="B540" s="29"/>
      <c r="C540" s="29"/>
      <c r="D540" s="29"/>
      <c r="E540" s="39"/>
      <c r="F540" s="29"/>
      <c r="G540" s="38" t="str">
        <f aca="false">IF(A540="","",DATE(YEAR(A540),MONTH(A540),1))</f>
        <v/>
      </c>
    </row>
    <row r="541" customFormat="false" ht="15" hidden="false" customHeight="false" outlineLevel="0" collapsed="false">
      <c r="A541" s="31"/>
      <c r="B541" s="29"/>
      <c r="C541" s="29"/>
      <c r="D541" s="29"/>
      <c r="E541" s="39"/>
      <c r="F541" s="29"/>
      <c r="G541" s="38" t="str">
        <f aca="false">IF(A541="","",DATE(YEAR(A541),MONTH(A541),1))</f>
        <v/>
      </c>
    </row>
    <row r="542" customFormat="false" ht="15" hidden="false" customHeight="false" outlineLevel="0" collapsed="false">
      <c r="A542" s="31"/>
      <c r="B542" s="29"/>
      <c r="C542" s="29"/>
      <c r="D542" s="29"/>
      <c r="E542" s="39"/>
      <c r="F542" s="29"/>
      <c r="G542" s="38" t="str">
        <f aca="false">IF(A542="","",DATE(YEAR(A542),MONTH(A542),1))</f>
        <v/>
      </c>
    </row>
    <row r="543" customFormat="false" ht="15" hidden="false" customHeight="false" outlineLevel="0" collapsed="false">
      <c r="A543" s="31"/>
      <c r="B543" s="29"/>
      <c r="C543" s="29"/>
      <c r="D543" s="29"/>
      <c r="E543" s="39"/>
      <c r="F543" s="29"/>
      <c r="G543" s="38" t="str">
        <f aca="false">IF(A543="","",DATE(YEAR(A543),MONTH(A543),1))</f>
        <v/>
      </c>
    </row>
    <row r="544" customFormat="false" ht="15" hidden="false" customHeight="false" outlineLevel="0" collapsed="false">
      <c r="A544" s="31"/>
      <c r="B544" s="29"/>
      <c r="C544" s="29"/>
      <c r="D544" s="29"/>
      <c r="E544" s="39"/>
      <c r="F544" s="29"/>
      <c r="G544" s="38" t="str">
        <f aca="false">IF(A544="","",DATE(YEAR(A544),MONTH(A544),1))</f>
        <v/>
      </c>
    </row>
    <row r="545" customFormat="false" ht="15" hidden="false" customHeight="false" outlineLevel="0" collapsed="false">
      <c r="A545" s="31"/>
      <c r="B545" s="29"/>
      <c r="C545" s="29"/>
      <c r="D545" s="29"/>
      <c r="E545" s="39"/>
      <c r="F545" s="29"/>
      <c r="G545" s="38" t="str">
        <f aca="false">IF(A545="","",DATE(YEAR(A545),MONTH(A545),1))</f>
        <v/>
      </c>
    </row>
    <row r="546" customFormat="false" ht="15" hidden="false" customHeight="false" outlineLevel="0" collapsed="false">
      <c r="A546" s="31"/>
      <c r="B546" s="29"/>
      <c r="C546" s="29"/>
      <c r="D546" s="29"/>
      <c r="E546" s="39"/>
      <c r="F546" s="29"/>
      <c r="G546" s="38" t="str">
        <f aca="false">IF(A546="","",DATE(YEAR(A546),MONTH(A546),1))</f>
        <v/>
      </c>
    </row>
    <row r="547" customFormat="false" ht="15" hidden="false" customHeight="false" outlineLevel="0" collapsed="false">
      <c r="A547" s="31"/>
      <c r="B547" s="29"/>
      <c r="C547" s="29"/>
      <c r="D547" s="29"/>
      <c r="E547" s="39"/>
      <c r="F547" s="29"/>
      <c r="G547" s="38" t="str">
        <f aca="false">IF(A547="","",DATE(YEAR(A547),MONTH(A547),1))</f>
        <v/>
      </c>
    </row>
    <row r="548" customFormat="false" ht="15" hidden="false" customHeight="false" outlineLevel="0" collapsed="false">
      <c r="A548" s="31"/>
      <c r="B548" s="29"/>
      <c r="C548" s="29"/>
      <c r="D548" s="29"/>
      <c r="E548" s="39"/>
      <c r="F548" s="29"/>
      <c r="G548" s="38" t="str">
        <f aca="false">IF(A548="","",DATE(YEAR(A548),MONTH(A548),1))</f>
        <v/>
      </c>
    </row>
    <row r="549" customFormat="false" ht="15" hidden="false" customHeight="false" outlineLevel="0" collapsed="false">
      <c r="A549" s="31"/>
      <c r="B549" s="29"/>
      <c r="C549" s="29"/>
      <c r="D549" s="29"/>
      <c r="E549" s="39"/>
      <c r="F549" s="29"/>
      <c r="G549" s="38" t="str">
        <f aca="false">IF(A549="","",DATE(YEAR(A549),MONTH(A549),1))</f>
        <v/>
      </c>
    </row>
    <row r="550" customFormat="false" ht="15" hidden="false" customHeight="false" outlineLevel="0" collapsed="false">
      <c r="A550" s="31"/>
      <c r="B550" s="29"/>
      <c r="C550" s="29"/>
      <c r="D550" s="29"/>
      <c r="E550" s="39"/>
      <c r="F550" s="29"/>
      <c r="G550" s="38" t="str">
        <f aca="false">IF(A550="","",DATE(YEAR(A550),MONTH(A550),1))</f>
        <v/>
      </c>
    </row>
    <row r="551" customFormat="false" ht="15" hidden="false" customHeight="false" outlineLevel="0" collapsed="false">
      <c r="A551" s="31"/>
      <c r="B551" s="29"/>
      <c r="C551" s="29"/>
      <c r="D551" s="29"/>
      <c r="E551" s="39"/>
      <c r="F551" s="29"/>
      <c r="G551" s="38" t="str">
        <f aca="false">IF(A551="","",DATE(YEAR(A551),MONTH(A551),1))</f>
        <v/>
      </c>
    </row>
    <row r="552" customFormat="false" ht="15" hidden="false" customHeight="false" outlineLevel="0" collapsed="false">
      <c r="A552" s="31"/>
      <c r="B552" s="29"/>
      <c r="C552" s="29"/>
      <c r="D552" s="29"/>
      <c r="E552" s="39"/>
      <c r="F552" s="29"/>
      <c r="G552" s="38" t="str">
        <f aca="false">IF(A552="","",DATE(YEAR(A552),MONTH(A552),1))</f>
        <v/>
      </c>
    </row>
    <row r="553" customFormat="false" ht="15" hidden="false" customHeight="false" outlineLevel="0" collapsed="false">
      <c r="A553" s="31"/>
      <c r="B553" s="29"/>
      <c r="C553" s="29"/>
      <c r="D553" s="29"/>
      <c r="E553" s="39"/>
      <c r="F553" s="29"/>
      <c r="G553" s="38" t="str">
        <f aca="false">IF(A553="","",DATE(YEAR(A553),MONTH(A553),1))</f>
        <v/>
      </c>
    </row>
    <row r="554" customFormat="false" ht="15" hidden="false" customHeight="false" outlineLevel="0" collapsed="false">
      <c r="A554" s="31"/>
      <c r="B554" s="29"/>
      <c r="C554" s="29"/>
      <c r="D554" s="29"/>
      <c r="E554" s="39"/>
      <c r="F554" s="29"/>
      <c r="G554" s="38" t="str">
        <f aca="false">IF(A554="","",DATE(YEAR(A554),MONTH(A554),1))</f>
        <v/>
      </c>
    </row>
    <row r="555" customFormat="false" ht="15" hidden="false" customHeight="false" outlineLevel="0" collapsed="false">
      <c r="A555" s="31"/>
      <c r="B555" s="29"/>
      <c r="C555" s="29"/>
      <c r="D555" s="29"/>
      <c r="E555" s="39"/>
      <c r="F555" s="29"/>
      <c r="G555" s="38" t="str">
        <f aca="false">IF(A555="","",DATE(YEAR(A555),MONTH(A555),1))</f>
        <v/>
      </c>
    </row>
    <row r="556" customFormat="false" ht="15" hidden="false" customHeight="false" outlineLevel="0" collapsed="false">
      <c r="A556" s="31"/>
      <c r="B556" s="29"/>
      <c r="C556" s="29"/>
      <c r="D556" s="29"/>
      <c r="E556" s="39"/>
      <c r="F556" s="29"/>
      <c r="G556" s="38" t="str">
        <f aca="false">IF(A556="","",DATE(YEAR(A556),MONTH(A556),1))</f>
        <v/>
      </c>
    </row>
    <row r="557" customFormat="false" ht="15" hidden="false" customHeight="false" outlineLevel="0" collapsed="false">
      <c r="A557" s="31"/>
      <c r="B557" s="29"/>
      <c r="C557" s="29"/>
      <c r="D557" s="29"/>
      <c r="E557" s="39"/>
      <c r="F557" s="29"/>
      <c r="G557" s="38" t="str">
        <f aca="false">IF(A557="","",DATE(YEAR(A557),MONTH(A557),1))</f>
        <v/>
      </c>
    </row>
    <row r="558" customFormat="false" ht="15" hidden="false" customHeight="false" outlineLevel="0" collapsed="false">
      <c r="A558" s="31"/>
      <c r="B558" s="29"/>
      <c r="C558" s="29"/>
      <c r="D558" s="29"/>
      <c r="E558" s="39"/>
      <c r="F558" s="29"/>
      <c r="G558" s="38" t="str">
        <f aca="false">IF(A558="","",DATE(YEAR(A558),MONTH(A558),1))</f>
        <v/>
      </c>
    </row>
    <row r="559" customFormat="false" ht="15" hidden="false" customHeight="false" outlineLevel="0" collapsed="false">
      <c r="A559" s="31"/>
      <c r="B559" s="29"/>
      <c r="C559" s="29"/>
      <c r="D559" s="29"/>
      <c r="E559" s="39"/>
      <c r="F559" s="29"/>
      <c r="G559" s="38" t="str">
        <f aca="false">IF(A559="","",DATE(YEAR(A559),MONTH(A559),1))</f>
        <v/>
      </c>
    </row>
    <row r="560" customFormat="false" ht="15" hidden="false" customHeight="false" outlineLevel="0" collapsed="false">
      <c r="A560" s="31"/>
      <c r="B560" s="29"/>
      <c r="C560" s="29"/>
      <c r="D560" s="29"/>
      <c r="E560" s="39"/>
      <c r="F560" s="29"/>
      <c r="G560" s="38" t="str">
        <f aca="false">IF(A560="","",DATE(YEAR(A560),MONTH(A560),1))</f>
        <v/>
      </c>
    </row>
    <row r="561" customFormat="false" ht="15" hidden="false" customHeight="false" outlineLevel="0" collapsed="false">
      <c r="A561" s="31"/>
      <c r="B561" s="29"/>
      <c r="C561" s="29"/>
      <c r="D561" s="29"/>
      <c r="E561" s="39"/>
      <c r="F561" s="29"/>
      <c r="G561" s="38" t="str">
        <f aca="false">IF(A561="","",DATE(YEAR(A561),MONTH(A561),1))</f>
        <v/>
      </c>
    </row>
    <row r="562" customFormat="false" ht="15" hidden="false" customHeight="false" outlineLevel="0" collapsed="false">
      <c r="A562" s="31"/>
      <c r="B562" s="29"/>
      <c r="C562" s="29"/>
      <c r="D562" s="29"/>
      <c r="E562" s="39"/>
      <c r="F562" s="29"/>
      <c r="G562" s="38" t="str">
        <f aca="false">IF(A562="","",DATE(YEAR(A562),MONTH(A562),1))</f>
        <v/>
      </c>
    </row>
    <row r="563" customFormat="false" ht="15" hidden="false" customHeight="false" outlineLevel="0" collapsed="false">
      <c r="A563" s="31"/>
      <c r="B563" s="29"/>
      <c r="C563" s="29"/>
      <c r="D563" s="29"/>
      <c r="E563" s="39"/>
      <c r="F563" s="29"/>
      <c r="G563" s="38" t="str">
        <f aca="false">IF(A563="","",DATE(YEAR(A563),MONTH(A563),1))</f>
        <v/>
      </c>
    </row>
    <row r="564" customFormat="false" ht="15" hidden="false" customHeight="false" outlineLevel="0" collapsed="false">
      <c r="A564" s="31"/>
      <c r="B564" s="29"/>
      <c r="C564" s="29"/>
      <c r="D564" s="29"/>
      <c r="E564" s="39"/>
      <c r="F564" s="29"/>
      <c r="G564" s="38" t="str">
        <f aca="false">IF(A564="","",DATE(YEAR(A564),MONTH(A564),1))</f>
        <v/>
      </c>
    </row>
    <row r="565" customFormat="false" ht="15" hidden="false" customHeight="false" outlineLevel="0" collapsed="false">
      <c r="A565" s="31"/>
      <c r="B565" s="29"/>
      <c r="C565" s="29"/>
      <c r="D565" s="29"/>
      <c r="E565" s="39"/>
      <c r="F565" s="29"/>
      <c r="G565" s="38" t="str">
        <f aca="false">IF(A565="","",DATE(YEAR(A565),MONTH(A565),1))</f>
        <v/>
      </c>
    </row>
    <row r="566" customFormat="false" ht="15" hidden="false" customHeight="false" outlineLevel="0" collapsed="false">
      <c r="A566" s="31"/>
      <c r="B566" s="29"/>
      <c r="C566" s="29"/>
      <c r="D566" s="29"/>
      <c r="E566" s="39"/>
      <c r="F566" s="29"/>
      <c r="G566" s="38" t="str">
        <f aca="false">IF(A566="","",DATE(YEAR(A566),MONTH(A566),1))</f>
        <v/>
      </c>
    </row>
    <row r="567" customFormat="false" ht="15" hidden="false" customHeight="false" outlineLevel="0" collapsed="false">
      <c r="A567" s="31"/>
      <c r="B567" s="29"/>
      <c r="C567" s="29"/>
      <c r="D567" s="29"/>
      <c r="E567" s="39"/>
      <c r="F567" s="29"/>
      <c r="G567" s="38" t="str">
        <f aca="false">IF(A567="","",DATE(YEAR(A567),MONTH(A567),1))</f>
        <v/>
      </c>
    </row>
    <row r="568" customFormat="false" ht="15" hidden="false" customHeight="false" outlineLevel="0" collapsed="false">
      <c r="A568" s="31"/>
      <c r="B568" s="29"/>
      <c r="C568" s="29"/>
      <c r="D568" s="29"/>
      <c r="E568" s="39"/>
      <c r="F568" s="29"/>
      <c r="G568" s="38" t="str">
        <f aca="false">IF(A568="","",DATE(YEAR(A568),MONTH(A568),1))</f>
        <v/>
      </c>
    </row>
    <row r="569" customFormat="false" ht="15" hidden="false" customHeight="false" outlineLevel="0" collapsed="false">
      <c r="A569" s="31"/>
      <c r="B569" s="29"/>
      <c r="C569" s="29"/>
      <c r="D569" s="29"/>
      <c r="E569" s="39"/>
      <c r="F569" s="29"/>
      <c r="G569" s="38" t="str">
        <f aca="false">IF(A569="","",DATE(YEAR(A569),MONTH(A569),1))</f>
        <v/>
      </c>
    </row>
    <row r="570" customFormat="false" ht="15" hidden="false" customHeight="false" outlineLevel="0" collapsed="false">
      <c r="A570" s="31"/>
      <c r="B570" s="29"/>
      <c r="C570" s="29"/>
      <c r="D570" s="29"/>
      <c r="E570" s="39"/>
      <c r="F570" s="29"/>
      <c r="G570" s="38" t="str">
        <f aca="false">IF(A570="","",DATE(YEAR(A570),MONTH(A570),1))</f>
        <v/>
      </c>
    </row>
    <row r="571" customFormat="false" ht="15" hidden="false" customHeight="false" outlineLevel="0" collapsed="false">
      <c r="A571" s="31"/>
      <c r="B571" s="29"/>
      <c r="C571" s="29"/>
      <c r="D571" s="29"/>
      <c r="E571" s="39"/>
      <c r="F571" s="29"/>
      <c r="G571" s="38" t="str">
        <f aca="false">IF(A571="","",DATE(YEAR(A571),MONTH(A571),1))</f>
        <v/>
      </c>
    </row>
    <row r="572" customFormat="false" ht="15" hidden="false" customHeight="false" outlineLevel="0" collapsed="false">
      <c r="A572" s="31"/>
      <c r="B572" s="29"/>
      <c r="C572" s="29"/>
      <c r="D572" s="29"/>
      <c r="E572" s="39"/>
      <c r="F572" s="29"/>
      <c r="G572" s="38" t="str">
        <f aca="false">IF(A572="","",DATE(YEAR(A572),MONTH(A572),1))</f>
        <v/>
      </c>
    </row>
    <row r="573" customFormat="false" ht="15" hidden="false" customHeight="false" outlineLevel="0" collapsed="false">
      <c r="A573" s="31"/>
      <c r="B573" s="29"/>
      <c r="C573" s="29"/>
      <c r="D573" s="29"/>
      <c r="E573" s="39"/>
      <c r="F573" s="29"/>
      <c r="G573" s="38" t="str">
        <f aca="false">IF(A573="","",DATE(YEAR(A573),MONTH(A573),1))</f>
        <v/>
      </c>
    </row>
    <row r="574" customFormat="false" ht="15" hidden="false" customHeight="false" outlineLevel="0" collapsed="false">
      <c r="A574" s="31"/>
      <c r="B574" s="29"/>
      <c r="C574" s="29"/>
      <c r="D574" s="29"/>
      <c r="E574" s="39"/>
      <c r="F574" s="29"/>
      <c r="G574" s="38" t="str">
        <f aca="false">IF(A574="","",DATE(YEAR(A574),MONTH(A574),1))</f>
        <v/>
      </c>
    </row>
    <row r="575" customFormat="false" ht="15" hidden="false" customHeight="false" outlineLevel="0" collapsed="false">
      <c r="A575" s="31"/>
      <c r="B575" s="29"/>
      <c r="C575" s="29"/>
      <c r="D575" s="29"/>
      <c r="E575" s="39"/>
      <c r="F575" s="29"/>
      <c r="G575" s="38" t="str">
        <f aca="false">IF(A575="","",DATE(YEAR(A575),MONTH(A575),1))</f>
        <v/>
      </c>
    </row>
    <row r="576" customFormat="false" ht="15" hidden="false" customHeight="false" outlineLevel="0" collapsed="false">
      <c r="A576" s="31"/>
      <c r="B576" s="29"/>
      <c r="C576" s="29"/>
      <c r="D576" s="29"/>
      <c r="E576" s="39"/>
      <c r="F576" s="29"/>
      <c r="G576" s="38" t="str">
        <f aca="false">IF(A576="","",DATE(YEAR(A576),MONTH(A576),1))</f>
        <v/>
      </c>
    </row>
    <row r="577" customFormat="false" ht="15" hidden="false" customHeight="false" outlineLevel="0" collapsed="false">
      <c r="A577" s="31"/>
      <c r="B577" s="29"/>
      <c r="C577" s="29"/>
      <c r="D577" s="29"/>
      <c r="E577" s="39"/>
      <c r="F577" s="29"/>
      <c r="G577" s="38" t="str">
        <f aca="false">IF(A577="","",DATE(YEAR(A577),MONTH(A577),1))</f>
        <v/>
      </c>
    </row>
    <row r="578" customFormat="false" ht="15" hidden="false" customHeight="false" outlineLevel="0" collapsed="false">
      <c r="A578" s="31"/>
      <c r="B578" s="29"/>
      <c r="C578" s="29"/>
      <c r="D578" s="29"/>
      <c r="E578" s="39"/>
      <c r="F578" s="29"/>
      <c r="G578" s="38" t="str">
        <f aca="false">IF(A578="","",DATE(YEAR(A578),MONTH(A578),1))</f>
        <v/>
      </c>
    </row>
    <row r="579" customFormat="false" ht="15" hidden="false" customHeight="false" outlineLevel="0" collapsed="false">
      <c r="A579" s="31"/>
      <c r="B579" s="29"/>
      <c r="C579" s="29"/>
      <c r="D579" s="29"/>
      <c r="E579" s="39"/>
      <c r="F579" s="29"/>
      <c r="G579" s="38" t="str">
        <f aca="false">IF(A579="","",DATE(YEAR(A579),MONTH(A579),1))</f>
        <v/>
      </c>
    </row>
    <row r="580" customFormat="false" ht="15" hidden="false" customHeight="false" outlineLevel="0" collapsed="false">
      <c r="A580" s="31"/>
      <c r="B580" s="29"/>
      <c r="C580" s="29"/>
      <c r="D580" s="29"/>
      <c r="E580" s="39"/>
      <c r="F580" s="29"/>
      <c r="G580" s="38" t="str">
        <f aca="false">IF(A580="","",DATE(YEAR(A580),MONTH(A580),1))</f>
        <v/>
      </c>
    </row>
    <row r="581" customFormat="false" ht="15" hidden="false" customHeight="false" outlineLevel="0" collapsed="false">
      <c r="A581" s="31"/>
      <c r="B581" s="29"/>
      <c r="C581" s="29"/>
      <c r="D581" s="29"/>
      <c r="E581" s="39"/>
      <c r="F581" s="29"/>
      <c r="G581" s="38" t="str">
        <f aca="false">IF(A581="","",DATE(YEAR(A581),MONTH(A581),1))</f>
        <v/>
      </c>
    </row>
    <row r="582" customFormat="false" ht="15" hidden="false" customHeight="false" outlineLevel="0" collapsed="false">
      <c r="A582" s="31"/>
      <c r="B582" s="29"/>
      <c r="C582" s="29"/>
      <c r="D582" s="29"/>
      <c r="E582" s="39"/>
      <c r="F582" s="29"/>
      <c r="G582" s="38" t="str">
        <f aca="false">IF(A582="","",DATE(YEAR(A582),MONTH(A582),1))</f>
        <v/>
      </c>
    </row>
    <row r="583" customFormat="false" ht="15" hidden="false" customHeight="false" outlineLevel="0" collapsed="false">
      <c r="A583" s="31"/>
      <c r="B583" s="29"/>
      <c r="C583" s="29"/>
      <c r="D583" s="29"/>
      <c r="E583" s="39"/>
      <c r="F583" s="29"/>
      <c r="G583" s="38" t="str">
        <f aca="false">IF(A583="","",DATE(YEAR(A583),MONTH(A583),1))</f>
        <v/>
      </c>
    </row>
    <row r="584" customFormat="false" ht="15" hidden="false" customHeight="false" outlineLevel="0" collapsed="false">
      <c r="A584" s="31"/>
      <c r="B584" s="29"/>
      <c r="C584" s="29"/>
      <c r="D584" s="29"/>
      <c r="E584" s="39"/>
      <c r="F584" s="29"/>
      <c r="G584" s="38" t="str">
        <f aca="false">IF(A584="","",DATE(YEAR(A584),MONTH(A584),1))</f>
        <v/>
      </c>
    </row>
    <row r="585" customFormat="false" ht="15" hidden="false" customHeight="false" outlineLevel="0" collapsed="false">
      <c r="A585" s="31"/>
      <c r="B585" s="29"/>
      <c r="C585" s="29"/>
      <c r="D585" s="29"/>
      <c r="E585" s="39"/>
      <c r="F585" s="29"/>
      <c r="G585" s="38" t="str">
        <f aca="false">IF(A585="","",DATE(YEAR(A585),MONTH(A585),1))</f>
        <v/>
      </c>
    </row>
    <row r="586" customFormat="false" ht="15" hidden="false" customHeight="false" outlineLevel="0" collapsed="false">
      <c r="A586" s="31"/>
      <c r="B586" s="29"/>
      <c r="C586" s="29"/>
      <c r="D586" s="29"/>
      <c r="E586" s="39"/>
      <c r="F586" s="29"/>
      <c r="G586" s="38" t="str">
        <f aca="false">IF(A586="","",DATE(YEAR(A586),MONTH(A586),1))</f>
        <v/>
      </c>
    </row>
    <row r="587" customFormat="false" ht="15" hidden="false" customHeight="false" outlineLevel="0" collapsed="false">
      <c r="A587" s="31"/>
      <c r="B587" s="29"/>
      <c r="C587" s="29"/>
      <c r="D587" s="29"/>
      <c r="E587" s="39"/>
      <c r="F587" s="29"/>
      <c r="G587" s="38" t="str">
        <f aca="false">IF(A587="","",DATE(YEAR(A587),MONTH(A587),1))</f>
        <v/>
      </c>
    </row>
    <row r="588" customFormat="false" ht="15" hidden="false" customHeight="false" outlineLevel="0" collapsed="false">
      <c r="A588" s="31"/>
      <c r="B588" s="29"/>
      <c r="C588" s="29"/>
      <c r="D588" s="29"/>
      <c r="E588" s="39"/>
      <c r="F588" s="29"/>
      <c r="G588" s="38" t="str">
        <f aca="false">IF(A588="","",DATE(YEAR(A588),MONTH(A588),1))</f>
        <v/>
      </c>
    </row>
    <row r="589" customFormat="false" ht="15" hidden="false" customHeight="false" outlineLevel="0" collapsed="false">
      <c r="A589" s="31"/>
      <c r="B589" s="29"/>
      <c r="C589" s="29"/>
      <c r="D589" s="29"/>
      <c r="E589" s="39"/>
      <c r="F589" s="29"/>
      <c r="G589" s="38" t="str">
        <f aca="false">IF(A589="","",DATE(YEAR(A589),MONTH(A589),1))</f>
        <v/>
      </c>
    </row>
    <row r="590" customFormat="false" ht="15" hidden="false" customHeight="false" outlineLevel="0" collapsed="false">
      <c r="A590" s="31"/>
      <c r="B590" s="29"/>
      <c r="C590" s="29"/>
      <c r="D590" s="29"/>
      <c r="E590" s="39"/>
      <c r="F590" s="29"/>
      <c r="G590" s="38" t="str">
        <f aca="false">IF(A590="","",DATE(YEAR(A590),MONTH(A590),1))</f>
        <v/>
      </c>
    </row>
    <row r="591" customFormat="false" ht="15" hidden="false" customHeight="false" outlineLevel="0" collapsed="false">
      <c r="A591" s="31"/>
      <c r="B591" s="29"/>
      <c r="C591" s="29"/>
      <c r="D591" s="29"/>
      <c r="E591" s="39"/>
      <c r="F591" s="29"/>
      <c r="G591" s="38" t="str">
        <f aca="false">IF(A591="","",DATE(YEAR(A591),MONTH(A591),1))</f>
        <v/>
      </c>
    </row>
    <row r="592" customFormat="false" ht="15" hidden="false" customHeight="false" outlineLevel="0" collapsed="false">
      <c r="A592" s="31"/>
      <c r="B592" s="29"/>
      <c r="C592" s="29"/>
      <c r="D592" s="29"/>
      <c r="E592" s="39"/>
      <c r="F592" s="29"/>
      <c r="G592" s="38" t="str">
        <f aca="false">IF(A592="","",DATE(YEAR(A592),MONTH(A592),1))</f>
        <v/>
      </c>
    </row>
    <row r="593" customFormat="false" ht="15" hidden="false" customHeight="false" outlineLevel="0" collapsed="false">
      <c r="A593" s="31"/>
      <c r="B593" s="29"/>
      <c r="C593" s="29"/>
      <c r="D593" s="29"/>
      <c r="E593" s="39"/>
      <c r="F593" s="29"/>
      <c r="G593" s="38" t="str">
        <f aca="false">IF(A593="","",DATE(YEAR(A593),MONTH(A593),1))</f>
        <v/>
      </c>
    </row>
    <row r="594" customFormat="false" ht="15" hidden="false" customHeight="false" outlineLevel="0" collapsed="false">
      <c r="A594" s="31"/>
      <c r="B594" s="29"/>
      <c r="C594" s="29"/>
      <c r="D594" s="29"/>
      <c r="E594" s="39"/>
      <c r="F594" s="29"/>
      <c r="G594" s="38" t="str">
        <f aca="false">IF(A594="","",DATE(YEAR(A594),MONTH(A594),1))</f>
        <v/>
      </c>
    </row>
    <row r="595" customFormat="false" ht="15" hidden="false" customHeight="false" outlineLevel="0" collapsed="false">
      <c r="A595" s="31"/>
      <c r="B595" s="29"/>
      <c r="C595" s="29"/>
      <c r="D595" s="29"/>
      <c r="E595" s="39"/>
      <c r="F595" s="29"/>
      <c r="G595" s="38" t="str">
        <f aca="false">IF(A595="","",DATE(YEAR(A595),MONTH(A595),1))</f>
        <v/>
      </c>
    </row>
    <row r="596" customFormat="false" ht="15" hidden="false" customHeight="false" outlineLevel="0" collapsed="false">
      <c r="A596" s="31"/>
      <c r="B596" s="29"/>
      <c r="C596" s="29"/>
      <c r="D596" s="29"/>
      <c r="E596" s="39"/>
      <c r="F596" s="29"/>
      <c r="G596" s="38" t="str">
        <f aca="false">IF(A596="","",DATE(YEAR(A596),MONTH(A596),1))</f>
        <v/>
      </c>
    </row>
    <row r="597" customFormat="false" ht="15" hidden="false" customHeight="false" outlineLevel="0" collapsed="false">
      <c r="A597" s="31"/>
      <c r="B597" s="29"/>
      <c r="C597" s="29"/>
      <c r="D597" s="29"/>
      <c r="E597" s="39"/>
      <c r="F597" s="29"/>
      <c r="G597" s="38" t="str">
        <f aca="false">IF(A597="","",DATE(YEAR(A597),MONTH(A597),1))</f>
        <v/>
      </c>
    </row>
    <row r="598" customFormat="false" ht="15" hidden="false" customHeight="false" outlineLevel="0" collapsed="false">
      <c r="A598" s="31"/>
      <c r="B598" s="29"/>
      <c r="C598" s="29"/>
      <c r="D598" s="29"/>
      <c r="E598" s="39"/>
      <c r="F598" s="29"/>
      <c r="G598" s="38" t="str">
        <f aca="false">IF(A598="","",DATE(YEAR(A598),MONTH(A598),1))</f>
        <v/>
      </c>
    </row>
    <row r="599" customFormat="false" ht="15" hidden="false" customHeight="false" outlineLevel="0" collapsed="false">
      <c r="A599" s="31"/>
      <c r="B599" s="29"/>
      <c r="C599" s="29"/>
      <c r="D599" s="29"/>
      <c r="E599" s="39"/>
      <c r="F599" s="29"/>
      <c r="G599" s="38" t="str">
        <f aca="false">IF(A599="","",DATE(YEAR(A599),MONTH(A599),1))</f>
        <v/>
      </c>
    </row>
    <row r="600" customFormat="false" ht="15" hidden="false" customHeight="false" outlineLevel="0" collapsed="false">
      <c r="A600" s="31"/>
      <c r="B600" s="29"/>
      <c r="C600" s="29"/>
      <c r="D600" s="29"/>
      <c r="E600" s="39"/>
      <c r="F600" s="29"/>
      <c r="G600" s="38" t="str">
        <f aca="false">IF(A600="","",DATE(YEAR(A600),MONTH(A600),1))</f>
        <v/>
      </c>
    </row>
    <row r="601" customFormat="false" ht="15" hidden="false" customHeight="false" outlineLevel="0" collapsed="false">
      <c r="A601" s="31"/>
      <c r="B601" s="29"/>
      <c r="C601" s="29"/>
      <c r="D601" s="29"/>
      <c r="E601" s="39"/>
      <c r="F601" s="29"/>
      <c r="G601" s="38" t="str">
        <f aca="false">IF(A601="","",DATE(YEAR(A601),MONTH(A601),1))</f>
        <v/>
      </c>
    </row>
    <row r="602" customFormat="false" ht="15" hidden="false" customHeight="false" outlineLevel="0" collapsed="false">
      <c r="A602" s="31"/>
      <c r="B602" s="29"/>
      <c r="C602" s="29"/>
      <c r="D602" s="29"/>
      <c r="E602" s="39"/>
      <c r="F602" s="29"/>
      <c r="G602" s="38" t="str">
        <f aca="false">IF(A602="","",DATE(YEAR(A602),MONTH(A602),1))</f>
        <v/>
      </c>
    </row>
    <row r="603" customFormat="false" ht="15" hidden="false" customHeight="false" outlineLevel="0" collapsed="false">
      <c r="A603" s="31"/>
      <c r="B603" s="29"/>
      <c r="C603" s="29"/>
      <c r="D603" s="29"/>
      <c r="E603" s="39"/>
      <c r="F603" s="29"/>
      <c r="G603" s="38" t="str">
        <f aca="false">IF(A603="","",DATE(YEAR(A603),MONTH(A603),1))</f>
        <v/>
      </c>
    </row>
    <row r="604" customFormat="false" ht="15" hidden="false" customHeight="false" outlineLevel="0" collapsed="false">
      <c r="A604" s="31"/>
      <c r="B604" s="29"/>
      <c r="C604" s="29"/>
      <c r="D604" s="29"/>
      <c r="E604" s="39"/>
      <c r="F604" s="29"/>
      <c r="G604" s="38" t="str">
        <f aca="false">IF(A604="","",DATE(YEAR(A604),MONTH(A604),1))</f>
        <v/>
      </c>
    </row>
    <row r="605" customFormat="false" ht="15" hidden="false" customHeight="false" outlineLevel="0" collapsed="false">
      <c r="A605" s="31"/>
      <c r="B605" s="29"/>
      <c r="C605" s="29"/>
      <c r="D605" s="29"/>
      <c r="E605" s="39"/>
      <c r="F605" s="29"/>
      <c r="G605" s="38" t="str">
        <f aca="false">IF(A605="","",DATE(YEAR(A605),MONTH(A605),1))</f>
        <v/>
      </c>
    </row>
    <row r="606" customFormat="false" ht="15" hidden="false" customHeight="false" outlineLevel="0" collapsed="false">
      <c r="A606" s="31"/>
      <c r="B606" s="29"/>
      <c r="C606" s="29"/>
      <c r="D606" s="29"/>
      <c r="E606" s="39"/>
      <c r="F606" s="29"/>
      <c r="G606" s="38" t="str">
        <f aca="false">IF(A606="","",DATE(YEAR(A606),MONTH(A606),1))</f>
        <v/>
      </c>
    </row>
    <row r="607" customFormat="false" ht="15" hidden="false" customHeight="false" outlineLevel="0" collapsed="false">
      <c r="A607" s="31"/>
      <c r="B607" s="29"/>
      <c r="C607" s="29"/>
      <c r="D607" s="29"/>
      <c r="E607" s="39"/>
      <c r="F607" s="29"/>
      <c r="G607" s="38" t="str">
        <f aca="false">IF(A607="","",DATE(YEAR(A607),MONTH(A607),1))</f>
        <v/>
      </c>
    </row>
    <row r="608" customFormat="false" ht="15" hidden="false" customHeight="false" outlineLevel="0" collapsed="false">
      <c r="A608" s="31"/>
      <c r="B608" s="29"/>
      <c r="C608" s="29"/>
      <c r="D608" s="29"/>
      <c r="E608" s="39"/>
      <c r="F608" s="29"/>
      <c r="G608" s="38" t="str">
        <f aca="false">IF(A608="","",DATE(YEAR(A608),MONTH(A608),1))</f>
        <v/>
      </c>
    </row>
    <row r="609" customFormat="false" ht="15" hidden="false" customHeight="false" outlineLevel="0" collapsed="false">
      <c r="A609" s="31"/>
      <c r="B609" s="29"/>
      <c r="C609" s="29"/>
      <c r="D609" s="29"/>
      <c r="E609" s="39"/>
      <c r="F609" s="29"/>
      <c r="G609" s="38" t="str">
        <f aca="false">IF(A609="","",DATE(YEAR(A609),MONTH(A609),1))</f>
        <v/>
      </c>
    </row>
    <row r="610" customFormat="false" ht="15" hidden="false" customHeight="false" outlineLevel="0" collapsed="false">
      <c r="A610" s="31"/>
      <c r="B610" s="29"/>
      <c r="C610" s="29"/>
      <c r="D610" s="29"/>
      <c r="E610" s="39"/>
      <c r="F610" s="29"/>
      <c r="G610" s="38" t="str">
        <f aca="false">IF(A610="","",DATE(YEAR(A610),MONTH(A610),1))</f>
        <v/>
      </c>
    </row>
    <row r="611" customFormat="false" ht="15" hidden="false" customHeight="false" outlineLevel="0" collapsed="false">
      <c r="A611" s="31"/>
      <c r="B611" s="29"/>
      <c r="C611" s="29"/>
      <c r="D611" s="29"/>
      <c r="E611" s="39"/>
      <c r="F611" s="29"/>
      <c r="G611" s="38" t="str">
        <f aca="false">IF(A611="","",DATE(YEAR(A611),MONTH(A611),1))</f>
        <v/>
      </c>
    </row>
    <row r="612" customFormat="false" ht="15" hidden="false" customHeight="false" outlineLevel="0" collapsed="false">
      <c r="A612" s="31"/>
      <c r="B612" s="29"/>
      <c r="C612" s="29"/>
      <c r="D612" s="29"/>
      <c r="E612" s="39"/>
      <c r="F612" s="29"/>
      <c r="G612" s="38" t="str">
        <f aca="false">IF(A612="","",DATE(YEAR(A612),MONTH(A612),1))</f>
        <v/>
      </c>
    </row>
    <row r="613" customFormat="false" ht="15" hidden="false" customHeight="false" outlineLevel="0" collapsed="false">
      <c r="A613" s="31"/>
      <c r="B613" s="29"/>
      <c r="C613" s="29"/>
      <c r="D613" s="29"/>
      <c r="E613" s="39"/>
      <c r="F613" s="29"/>
      <c r="G613" s="38" t="str">
        <f aca="false">IF(A613="","",DATE(YEAR(A613),MONTH(A613),1))</f>
        <v/>
      </c>
    </row>
    <row r="614" customFormat="false" ht="15" hidden="false" customHeight="false" outlineLevel="0" collapsed="false">
      <c r="A614" s="31"/>
      <c r="B614" s="29"/>
      <c r="C614" s="29"/>
      <c r="D614" s="29"/>
      <c r="E614" s="39"/>
      <c r="F614" s="29"/>
      <c r="G614" s="38" t="str">
        <f aca="false">IF(A614="","",DATE(YEAR(A614),MONTH(A614),1))</f>
        <v/>
      </c>
    </row>
    <row r="615" customFormat="false" ht="15" hidden="false" customHeight="false" outlineLevel="0" collapsed="false">
      <c r="A615" s="31"/>
      <c r="B615" s="29"/>
      <c r="C615" s="29"/>
      <c r="D615" s="29"/>
      <c r="E615" s="39"/>
      <c r="F615" s="29"/>
      <c r="G615" s="38" t="str">
        <f aca="false">IF(A615="","",DATE(YEAR(A615),MONTH(A615),1))</f>
        <v/>
      </c>
    </row>
    <row r="616" customFormat="false" ht="15" hidden="false" customHeight="false" outlineLevel="0" collapsed="false">
      <c r="A616" s="31"/>
      <c r="B616" s="29"/>
      <c r="C616" s="29"/>
      <c r="D616" s="29"/>
      <c r="E616" s="39"/>
      <c r="F616" s="29"/>
      <c r="G616" s="38" t="str">
        <f aca="false">IF(A616="","",DATE(YEAR(A616),MONTH(A616),1))</f>
        <v/>
      </c>
    </row>
    <row r="617" customFormat="false" ht="15" hidden="false" customHeight="false" outlineLevel="0" collapsed="false">
      <c r="A617" s="31"/>
      <c r="B617" s="29"/>
      <c r="C617" s="29"/>
      <c r="D617" s="29"/>
      <c r="E617" s="39"/>
      <c r="F617" s="29"/>
      <c r="G617" s="38" t="str">
        <f aca="false">IF(A617="","",DATE(YEAR(A617),MONTH(A617),1))</f>
        <v/>
      </c>
    </row>
    <row r="618" customFormat="false" ht="15" hidden="false" customHeight="false" outlineLevel="0" collapsed="false">
      <c r="A618" s="31"/>
      <c r="B618" s="29"/>
      <c r="C618" s="29"/>
      <c r="D618" s="29"/>
      <c r="E618" s="39"/>
      <c r="F618" s="29"/>
      <c r="G618" s="38" t="str">
        <f aca="false">IF(A618="","",DATE(YEAR(A618),MONTH(A618),1))</f>
        <v/>
      </c>
    </row>
    <row r="619" customFormat="false" ht="15" hidden="false" customHeight="false" outlineLevel="0" collapsed="false">
      <c r="A619" s="31"/>
      <c r="B619" s="29"/>
      <c r="C619" s="29"/>
      <c r="D619" s="29"/>
      <c r="E619" s="39"/>
      <c r="F619" s="29"/>
      <c r="G619" s="38" t="str">
        <f aca="false">IF(A619="","",DATE(YEAR(A619),MONTH(A619),1))</f>
        <v/>
      </c>
    </row>
    <row r="620" customFormat="false" ht="15" hidden="false" customHeight="false" outlineLevel="0" collapsed="false">
      <c r="A620" s="31"/>
      <c r="B620" s="29"/>
      <c r="C620" s="29"/>
      <c r="D620" s="29"/>
      <c r="E620" s="39"/>
      <c r="F620" s="29"/>
      <c r="G620" s="38" t="str">
        <f aca="false">IF(A620="","",DATE(YEAR(A620),MONTH(A620),1))</f>
        <v/>
      </c>
    </row>
    <row r="621" customFormat="false" ht="15" hidden="false" customHeight="false" outlineLevel="0" collapsed="false">
      <c r="A621" s="31"/>
      <c r="B621" s="29"/>
      <c r="C621" s="29"/>
      <c r="D621" s="29"/>
      <c r="E621" s="39"/>
      <c r="F621" s="29"/>
      <c r="G621" s="38" t="str">
        <f aca="false">IF(A621="","",DATE(YEAR(A621),MONTH(A621),1))</f>
        <v/>
      </c>
    </row>
    <row r="622" customFormat="false" ht="15" hidden="false" customHeight="false" outlineLevel="0" collapsed="false">
      <c r="A622" s="31"/>
      <c r="B622" s="29"/>
      <c r="C622" s="29"/>
      <c r="D622" s="29"/>
      <c r="E622" s="39"/>
      <c r="F622" s="29"/>
      <c r="G622" s="38" t="str">
        <f aca="false">IF(A622="","",DATE(YEAR(A622),MONTH(A622),1))</f>
        <v/>
      </c>
    </row>
    <row r="623" customFormat="false" ht="15" hidden="false" customHeight="false" outlineLevel="0" collapsed="false">
      <c r="A623" s="31"/>
      <c r="B623" s="29"/>
      <c r="C623" s="29"/>
      <c r="D623" s="29"/>
      <c r="E623" s="39"/>
      <c r="F623" s="29"/>
      <c r="G623" s="38" t="str">
        <f aca="false">IF(A623="","",DATE(YEAR(A623),MONTH(A623),1))</f>
        <v/>
      </c>
    </row>
    <row r="624" customFormat="false" ht="15" hidden="false" customHeight="false" outlineLevel="0" collapsed="false">
      <c r="A624" s="31"/>
      <c r="B624" s="29"/>
      <c r="C624" s="29"/>
      <c r="D624" s="29"/>
      <c r="E624" s="39"/>
      <c r="F624" s="29"/>
      <c r="G624" s="38" t="str">
        <f aca="false">IF(A624="","",DATE(YEAR(A624),MONTH(A624),1))</f>
        <v/>
      </c>
    </row>
    <row r="625" customFormat="false" ht="15" hidden="false" customHeight="false" outlineLevel="0" collapsed="false">
      <c r="A625" s="31"/>
      <c r="B625" s="29"/>
      <c r="C625" s="29"/>
      <c r="D625" s="29"/>
      <c r="E625" s="39"/>
      <c r="F625" s="29"/>
      <c r="G625" s="38" t="str">
        <f aca="false">IF(A625="","",DATE(YEAR(A625),MONTH(A625),1))</f>
        <v/>
      </c>
    </row>
    <row r="626" customFormat="false" ht="15" hidden="false" customHeight="false" outlineLevel="0" collapsed="false">
      <c r="A626" s="31"/>
      <c r="B626" s="29"/>
      <c r="C626" s="29"/>
      <c r="D626" s="29"/>
      <c r="E626" s="39"/>
      <c r="F626" s="29"/>
      <c r="G626" s="38" t="str">
        <f aca="false">IF(A626="","",DATE(YEAR(A626),MONTH(A626),1))</f>
        <v/>
      </c>
    </row>
    <row r="627" customFormat="false" ht="15" hidden="false" customHeight="false" outlineLevel="0" collapsed="false">
      <c r="A627" s="31"/>
      <c r="B627" s="29"/>
      <c r="C627" s="29"/>
      <c r="D627" s="29"/>
      <c r="E627" s="39"/>
      <c r="F627" s="29"/>
      <c r="G627" s="38" t="str">
        <f aca="false">IF(A627="","",DATE(YEAR(A627),MONTH(A627),1))</f>
        <v/>
      </c>
    </row>
    <row r="628" customFormat="false" ht="15" hidden="false" customHeight="false" outlineLevel="0" collapsed="false">
      <c r="A628" s="31"/>
      <c r="B628" s="29"/>
      <c r="C628" s="29"/>
      <c r="D628" s="29"/>
      <c r="E628" s="39"/>
      <c r="F628" s="29"/>
      <c r="G628" s="38" t="str">
        <f aca="false">IF(A628="","",DATE(YEAR(A628),MONTH(A628),1))</f>
        <v/>
      </c>
    </row>
    <row r="629" customFormat="false" ht="15" hidden="false" customHeight="false" outlineLevel="0" collapsed="false">
      <c r="A629" s="31"/>
      <c r="B629" s="29"/>
      <c r="C629" s="29"/>
      <c r="D629" s="29"/>
      <c r="E629" s="39"/>
      <c r="F629" s="29"/>
      <c r="G629" s="38" t="str">
        <f aca="false">IF(A629="","",DATE(YEAR(A629),MONTH(A629),1))</f>
        <v/>
      </c>
    </row>
    <row r="630" customFormat="false" ht="15" hidden="false" customHeight="false" outlineLevel="0" collapsed="false">
      <c r="A630" s="31"/>
      <c r="B630" s="29"/>
      <c r="C630" s="29"/>
      <c r="D630" s="29"/>
      <c r="E630" s="39"/>
      <c r="F630" s="29"/>
      <c r="G630" s="38" t="str">
        <f aca="false">IF(A630="","",DATE(YEAR(A630),MONTH(A630),1))</f>
        <v/>
      </c>
    </row>
    <row r="631" customFormat="false" ht="15" hidden="false" customHeight="false" outlineLevel="0" collapsed="false">
      <c r="A631" s="31"/>
      <c r="B631" s="29"/>
      <c r="C631" s="29"/>
      <c r="D631" s="29"/>
      <c r="E631" s="39"/>
      <c r="F631" s="29"/>
      <c r="G631" s="38" t="str">
        <f aca="false">IF(A631="","",DATE(YEAR(A631),MONTH(A631),1))</f>
        <v/>
      </c>
    </row>
    <row r="632" customFormat="false" ht="15" hidden="false" customHeight="false" outlineLevel="0" collapsed="false">
      <c r="A632" s="31"/>
      <c r="B632" s="29"/>
      <c r="C632" s="29"/>
      <c r="D632" s="29"/>
      <c r="E632" s="39"/>
      <c r="F632" s="29"/>
      <c r="G632" s="38" t="str">
        <f aca="false">IF(A632="","",DATE(YEAR(A632),MONTH(A632),1))</f>
        <v/>
      </c>
    </row>
    <row r="633" customFormat="false" ht="15" hidden="false" customHeight="false" outlineLevel="0" collapsed="false">
      <c r="A633" s="31"/>
      <c r="B633" s="29"/>
      <c r="C633" s="29"/>
      <c r="D633" s="29"/>
      <c r="E633" s="39"/>
      <c r="F633" s="29"/>
      <c r="G633" s="38" t="str">
        <f aca="false">IF(A633="","",DATE(YEAR(A633),MONTH(A633),1))</f>
        <v/>
      </c>
    </row>
    <row r="634" customFormat="false" ht="15" hidden="false" customHeight="false" outlineLevel="0" collapsed="false">
      <c r="A634" s="31"/>
      <c r="B634" s="29"/>
      <c r="C634" s="29"/>
      <c r="D634" s="29"/>
      <c r="E634" s="39"/>
      <c r="F634" s="29"/>
      <c r="G634" s="38" t="str">
        <f aca="false">IF(A634="","",DATE(YEAR(A634),MONTH(A634),1))</f>
        <v/>
      </c>
    </row>
    <row r="635" customFormat="false" ht="15" hidden="false" customHeight="false" outlineLevel="0" collapsed="false">
      <c r="A635" s="31"/>
      <c r="B635" s="29"/>
      <c r="C635" s="29"/>
      <c r="D635" s="29"/>
      <c r="E635" s="39"/>
      <c r="F635" s="29"/>
      <c r="G635" s="38" t="str">
        <f aca="false">IF(A635="","",DATE(YEAR(A635),MONTH(A635),1))</f>
        <v/>
      </c>
    </row>
    <row r="636" customFormat="false" ht="15" hidden="false" customHeight="false" outlineLevel="0" collapsed="false">
      <c r="A636" s="31"/>
      <c r="B636" s="29"/>
      <c r="C636" s="29"/>
      <c r="D636" s="29"/>
      <c r="E636" s="39"/>
      <c r="F636" s="29"/>
      <c r="G636" s="38" t="str">
        <f aca="false">IF(A636="","",DATE(YEAR(A636),MONTH(A636),1))</f>
        <v/>
      </c>
    </row>
    <row r="637" customFormat="false" ht="15" hidden="false" customHeight="false" outlineLevel="0" collapsed="false">
      <c r="A637" s="31"/>
      <c r="B637" s="29"/>
      <c r="C637" s="29"/>
      <c r="D637" s="29"/>
      <c r="E637" s="39"/>
      <c r="F637" s="29"/>
      <c r="G637" s="38" t="str">
        <f aca="false">IF(A637="","",DATE(YEAR(A637),MONTH(A637),1))</f>
        <v/>
      </c>
    </row>
    <row r="638" customFormat="false" ht="15" hidden="false" customHeight="false" outlineLevel="0" collapsed="false">
      <c r="A638" s="31"/>
      <c r="B638" s="29"/>
      <c r="C638" s="29"/>
      <c r="D638" s="29"/>
      <c r="E638" s="39"/>
      <c r="F638" s="29"/>
      <c r="G638" s="38" t="str">
        <f aca="false">IF(A638="","",DATE(YEAR(A638),MONTH(A638),1))</f>
        <v/>
      </c>
    </row>
    <row r="639" customFormat="false" ht="15" hidden="false" customHeight="false" outlineLevel="0" collapsed="false">
      <c r="A639" s="31"/>
      <c r="B639" s="29"/>
      <c r="C639" s="29"/>
      <c r="D639" s="29"/>
      <c r="E639" s="39"/>
      <c r="F639" s="29"/>
      <c r="G639" s="38" t="str">
        <f aca="false">IF(A639="","",DATE(YEAR(A639),MONTH(A639),1))</f>
        <v/>
      </c>
    </row>
    <row r="640" customFormat="false" ht="15" hidden="false" customHeight="false" outlineLevel="0" collapsed="false">
      <c r="A640" s="31"/>
      <c r="B640" s="29"/>
      <c r="C640" s="29"/>
      <c r="D640" s="29"/>
      <c r="E640" s="39"/>
      <c r="F640" s="29"/>
      <c r="G640" s="38" t="str">
        <f aca="false">IF(A640="","",DATE(YEAR(A640),MONTH(A640),1))</f>
        <v/>
      </c>
    </row>
    <row r="641" customFormat="false" ht="15" hidden="false" customHeight="false" outlineLevel="0" collapsed="false">
      <c r="A641" s="31"/>
      <c r="B641" s="29"/>
      <c r="C641" s="29"/>
      <c r="D641" s="29"/>
      <c r="E641" s="39"/>
      <c r="F641" s="29"/>
      <c r="G641" s="38" t="str">
        <f aca="false">IF(A641="","",DATE(YEAR(A641),MONTH(A641),1))</f>
        <v/>
      </c>
    </row>
    <row r="642" customFormat="false" ht="15" hidden="false" customHeight="false" outlineLevel="0" collapsed="false">
      <c r="A642" s="31"/>
      <c r="B642" s="29"/>
      <c r="C642" s="29"/>
      <c r="D642" s="29"/>
      <c r="E642" s="39"/>
      <c r="F642" s="29"/>
      <c r="G642" s="38" t="str">
        <f aca="false">IF(A642="","",DATE(YEAR(A642),MONTH(A642),1))</f>
        <v/>
      </c>
    </row>
    <row r="643" customFormat="false" ht="15" hidden="false" customHeight="false" outlineLevel="0" collapsed="false">
      <c r="A643" s="31"/>
      <c r="B643" s="29"/>
      <c r="C643" s="29"/>
      <c r="D643" s="29"/>
      <c r="E643" s="39"/>
      <c r="F643" s="29"/>
      <c r="G643" s="38" t="str">
        <f aca="false">IF(A643="","",DATE(YEAR(A643),MONTH(A643),1))</f>
        <v/>
      </c>
    </row>
    <row r="644" customFormat="false" ht="15" hidden="false" customHeight="false" outlineLevel="0" collapsed="false">
      <c r="A644" s="31"/>
      <c r="B644" s="29"/>
      <c r="C644" s="29"/>
      <c r="D644" s="29"/>
      <c r="E644" s="39"/>
      <c r="F644" s="29"/>
      <c r="G644" s="38" t="str">
        <f aca="false">IF(A644="","",DATE(YEAR(A644),MONTH(A644),1))</f>
        <v/>
      </c>
    </row>
    <row r="645" customFormat="false" ht="15" hidden="false" customHeight="false" outlineLevel="0" collapsed="false">
      <c r="A645" s="31"/>
      <c r="B645" s="29"/>
      <c r="C645" s="29"/>
      <c r="D645" s="29"/>
      <c r="E645" s="39"/>
      <c r="F645" s="29"/>
      <c r="G645" s="38" t="str">
        <f aca="false">IF(A645="","",DATE(YEAR(A645),MONTH(A645),1))</f>
        <v/>
      </c>
    </row>
    <row r="646" customFormat="false" ht="15" hidden="false" customHeight="false" outlineLevel="0" collapsed="false">
      <c r="A646" s="31"/>
      <c r="B646" s="29"/>
      <c r="C646" s="29"/>
      <c r="D646" s="29"/>
      <c r="E646" s="39"/>
      <c r="F646" s="29"/>
      <c r="G646" s="38" t="str">
        <f aca="false">IF(A646="","",DATE(YEAR(A646),MONTH(A646),1))</f>
        <v/>
      </c>
    </row>
    <row r="647" customFormat="false" ht="15" hidden="false" customHeight="false" outlineLevel="0" collapsed="false">
      <c r="A647" s="31"/>
      <c r="B647" s="29"/>
      <c r="C647" s="29"/>
      <c r="D647" s="29"/>
      <c r="E647" s="39"/>
      <c r="F647" s="29"/>
      <c r="G647" s="38" t="str">
        <f aca="false">IF(A647="","",DATE(YEAR(A647),MONTH(A647),1))</f>
        <v/>
      </c>
    </row>
    <row r="648" customFormat="false" ht="15" hidden="false" customHeight="false" outlineLevel="0" collapsed="false">
      <c r="A648" s="31"/>
      <c r="B648" s="29"/>
      <c r="C648" s="29"/>
      <c r="D648" s="29"/>
      <c r="E648" s="39"/>
      <c r="F648" s="29"/>
      <c r="G648" s="38" t="str">
        <f aca="false">IF(A648="","",DATE(YEAR(A648),MONTH(A648),1))</f>
        <v/>
      </c>
    </row>
    <row r="649" customFormat="false" ht="15" hidden="false" customHeight="false" outlineLevel="0" collapsed="false">
      <c r="A649" s="31"/>
      <c r="B649" s="29"/>
      <c r="C649" s="29"/>
      <c r="D649" s="29"/>
      <c r="E649" s="39"/>
      <c r="F649" s="29"/>
      <c r="G649" s="38" t="str">
        <f aca="false">IF(A649="","",DATE(YEAR(A649),MONTH(A649),1))</f>
        <v/>
      </c>
    </row>
    <row r="650" customFormat="false" ht="15" hidden="false" customHeight="false" outlineLevel="0" collapsed="false">
      <c r="A650" s="31"/>
      <c r="B650" s="29"/>
      <c r="C650" s="29"/>
      <c r="D650" s="29"/>
      <c r="E650" s="39"/>
      <c r="F650" s="29"/>
      <c r="G650" s="38" t="str">
        <f aca="false">IF(A650="","",DATE(YEAR(A650),MONTH(A650),1))</f>
        <v/>
      </c>
    </row>
    <row r="651" customFormat="false" ht="15" hidden="false" customHeight="false" outlineLevel="0" collapsed="false">
      <c r="A651" s="31"/>
      <c r="B651" s="29"/>
      <c r="C651" s="29"/>
      <c r="D651" s="29"/>
      <c r="E651" s="39"/>
      <c r="F651" s="29"/>
      <c r="G651" s="38" t="str">
        <f aca="false">IF(A651="","",DATE(YEAR(A651),MONTH(A651),1))</f>
        <v/>
      </c>
    </row>
    <row r="652" customFormat="false" ht="15" hidden="false" customHeight="false" outlineLevel="0" collapsed="false">
      <c r="A652" s="31"/>
      <c r="B652" s="29"/>
      <c r="C652" s="29"/>
      <c r="D652" s="29"/>
      <c r="E652" s="39"/>
      <c r="F652" s="29"/>
      <c r="G652" s="38" t="str">
        <f aca="false">IF(A652="","",DATE(YEAR(A652),MONTH(A652),1))</f>
        <v/>
      </c>
    </row>
    <row r="653" customFormat="false" ht="15" hidden="false" customHeight="false" outlineLevel="0" collapsed="false">
      <c r="A653" s="31"/>
      <c r="B653" s="29"/>
      <c r="C653" s="29"/>
      <c r="D653" s="29"/>
      <c r="E653" s="39"/>
      <c r="F653" s="29"/>
      <c r="G653" s="38" t="str">
        <f aca="false">IF(A653="","",DATE(YEAR(A653),MONTH(A653),1))</f>
        <v/>
      </c>
    </row>
    <row r="654" customFormat="false" ht="15" hidden="false" customHeight="false" outlineLevel="0" collapsed="false">
      <c r="A654" s="31"/>
      <c r="B654" s="29"/>
      <c r="C654" s="29"/>
      <c r="D654" s="29"/>
      <c r="E654" s="39"/>
      <c r="F654" s="29"/>
      <c r="G654" s="38" t="str">
        <f aca="false">IF(A654="","",DATE(YEAR(A654),MONTH(A654),1))</f>
        <v/>
      </c>
    </row>
    <row r="655" customFormat="false" ht="15" hidden="false" customHeight="false" outlineLevel="0" collapsed="false">
      <c r="A655" s="31"/>
      <c r="B655" s="29"/>
      <c r="C655" s="29"/>
      <c r="D655" s="29"/>
      <c r="E655" s="39"/>
      <c r="F655" s="29"/>
      <c r="G655" s="38" t="str">
        <f aca="false">IF(A655="","",DATE(YEAR(A655),MONTH(A655),1))</f>
        <v/>
      </c>
    </row>
    <row r="656" customFormat="false" ht="15" hidden="false" customHeight="false" outlineLevel="0" collapsed="false">
      <c r="A656" s="31"/>
      <c r="B656" s="29"/>
      <c r="C656" s="29"/>
      <c r="D656" s="29"/>
      <c r="E656" s="39"/>
      <c r="F656" s="29"/>
      <c r="G656" s="38" t="str">
        <f aca="false">IF(A656="","",DATE(YEAR(A656),MONTH(A656),1))</f>
        <v/>
      </c>
    </row>
    <row r="657" customFormat="false" ht="15" hidden="false" customHeight="false" outlineLevel="0" collapsed="false">
      <c r="A657" s="31"/>
      <c r="B657" s="29"/>
      <c r="C657" s="29"/>
      <c r="D657" s="29"/>
      <c r="E657" s="39"/>
      <c r="F657" s="29"/>
      <c r="G657" s="38" t="str">
        <f aca="false">IF(A657="","",DATE(YEAR(A657),MONTH(A657),1))</f>
        <v/>
      </c>
    </row>
    <row r="658" customFormat="false" ht="15" hidden="false" customHeight="false" outlineLevel="0" collapsed="false">
      <c r="A658" s="31"/>
      <c r="B658" s="29"/>
      <c r="C658" s="29"/>
      <c r="D658" s="29"/>
      <c r="E658" s="39"/>
      <c r="F658" s="29"/>
      <c r="G658" s="38" t="str">
        <f aca="false">IF(A658="","",DATE(YEAR(A658),MONTH(A658),1))</f>
        <v/>
      </c>
    </row>
    <row r="659" customFormat="false" ht="15" hidden="false" customHeight="false" outlineLevel="0" collapsed="false">
      <c r="A659" s="31"/>
      <c r="B659" s="29"/>
      <c r="C659" s="29"/>
      <c r="D659" s="29"/>
      <c r="E659" s="39"/>
      <c r="F659" s="29"/>
      <c r="G659" s="38" t="str">
        <f aca="false">IF(A659="","",DATE(YEAR(A659),MONTH(A659),1))</f>
        <v/>
      </c>
    </row>
    <row r="660" customFormat="false" ht="15" hidden="false" customHeight="false" outlineLevel="0" collapsed="false">
      <c r="A660" s="31"/>
      <c r="B660" s="29"/>
      <c r="C660" s="29"/>
      <c r="D660" s="29"/>
      <c r="E660" s="39"/>
      <c r="F660" s="29"/>
      <c r="G660" s="38" t="str">
        <f aca="false">IF(A660="","",DATE(YEAR(A660),MONTH(A660),1))</f>
        <v/>
      </c>
    </row>
    <row r="661" customFormat="false" ht="15" hidden="false" customHeight="false" outlineLevel="0" collapsed="false">
      <c r="A661" s="31"/>
      <c r="B661" s="29"/>
      <c r="C661" s="29"/>
      <c r="D661" s="29"/>
      <c r="E661" s="39"/>
      <c r="F661" s="29"/>
      <c r="G661" s="38" t="str">
        <f aca="false">IF(A661="","",DATE(YEAR(A661),MONTH(A661),1))</f>
        <v/>
      </c>
    </row>
    <row r="662" customFormat="false" ht="15" hidden="false" customHeight="false" outlineLevel="0" collapsed="false">
      <c r="A662" s="31"/>
      <c r="B662" s="29"/>
      <c r="C662" s="29"/>
      <c r="D662" s="29"/>
      <c r="E662" s="39"/>
      <c r="F662" s="29"/>
      <c r="G662" s="38" t="str">
        <f aca="false">IF(A662="","",DATE(YEAR(A662),MONTH(A662),1))</f>
        <v/>
      </c>
    </row>
    <row r="663" customFormat="false" ht="15" hidden="false" customHeight="false" outlineLevel="0" collapsed="false">
      <c r="A663" s="31"/>
      <c r="B663" s="29"/>
      <c r="C663" s="29"/>
      <c r="D663" s="29"/>
      <c r="E663" s="39"/>
      <c r="F663" s="29"/>
      <c r="G663" s="38" t="str">
        <f aca="false">IF(A663="","",DATE(YEAR(A663),MONTH(A663),1))</f>
        <v/>
      </c>
    </row>
    <row r="664" customFormat="false" ht="15" hidden="false" customHeight="false" outlineLevel="0" collapsed="false">
      <c r="A664" s="31"/>
      <c r="B664" s="29"/>
      <c r="C664" s="29"/>
      <c r="D664" s="29"/>
      <c r="E664" s="39"/>
      <c r="F664" s="29"/>
      <c r="G664" s="38" t="str">
        <f aca="false">IF(A664="","",DATE(YEAR(A664),MONTH(A664),1))</f>
        <v/>
      </c>
    </row>
    <row r="665" customFormat="false" ht="15" hidden="false" customHeight="false" outlineLevel="0" collapsed="false">
      <c r="A665" s="31"/>
      <c r="B665" s="29"/>
      <c r="C665" s="29"/>
      <c r="D665" s="29"/>
      <c r="E665" s="39"/>
      <c r="F665" s="29"/>
      <c r="G665" s="38" t="str">
        <f aca="false">IF(A665="","",DATE(YEAR(A665),MONTH(A665),1))</f>
        <v/>
      </c>
    </row>
    <row r="666" customFormat="false" ht="15" hidden="false" customHeight="false" outlineLevel="0" collapsed="false">
      <c r="A666" s="31"/>
      <c r="B666" s="29"/>
      <c r="C666" s="29"/>
      <c r="D666" s="29"/>
      <c r="E666" s="39"/>
      <c r="F666" s="29"/>
      <c r="G666" s="38" t="str">
        <f aca="false">IF(A666="","",DATE(YEAR(A666),MONTH(A666),1))</f>
        <v/>
      </c>
    </row>
    <row r="667" customFormat="false" ht="15" hidden="false" customHeight="false" outlineLevel="0" collapsed="false">
      <c r="A667" s="31"/>
      <c r="B667" s="29"/>
      <c r="C667" s="29"/>
      <c r="D667" s="29"/>
      <c r="E667" s="39"/>
      <c r="F667" s="29"/>
      <c r="G667" s="38" t="str">
        <f aca="false">IF(A667="","",DATE(YEAR(A667),MONTH(A667),1))</f>
        <v/>
      </c>
    </row>
    <row r="668" customFormat="false" ht="15" hidden="false" customHeight="false" outlineLevel="0" collapsed="false">
      <c r="A668" s="31"/>
      <c r="B668" s="29"/>
      <c r="C668" s="29"/>
      <c r="D668" s="29"/>
      <c r="E668" s="39"/>
      <c r="F668" s="29"/>
      <c r="G668" s="38" t="str">
        <f aca="false">IF(A668="","",DATE(YEAR(A668),MONTH(A668),1))</f>
        <v/>
      </c>
    </row>
    <row r="669" customFormat="false" ht="15" hidden="false" customHeight="false" outlineLevel="0" collapsed="false">
      <c r="A669" s="31"/>
      <c r="B669" s="29"/>
      <c r="C669" s="29"/>
      <c r="D669" s="29"/>
      <c r="E669" s="39"/>
      <c r="F669" s="29"/>
      <c r="G669" s="38" t="str">
        <f aca="false">IF(A669="","",DATE(YEAR(A669),MONTH(A669),1))</f>
        <v/>
      </c>
    </row>
    <row r="670" customFormat="false" ht="15" hidden="false" customHeight="false" outlineLevel="0" collapsed="false">
      <c r="A670" s="31"/>
      <c r="B670" s="29"/>
      <c r="C670" s="29"/>
      <c r="D670" s="29"/>
      <c r="E670" s="39"/>
      <c r="F670" s="29"/>
      <c r="G670" s="38" t="str">
        <f aca="false">IF(A670="","",DATE(YEAR(A670),MONTH(A670),1))</f>
        <v/>
      </c>
    </row>
    <row r="671" customFormat="false" ht="15" hidden="false" customHeight="false" outlineLevel="0" collapsed="false">
      <c r="A671" s="31"/>
      <c r="B671" s="29"/>
      <c r="C671" s="29"/>
      <c r="D671" s="29"/>
      <c r="E671" s="39"/>
      <c r="F671" s="29"/>
      <c r="G671" s="38" t="str">
        <f aca="false">IF(A671="","",DATE(YEAR(A671),MONTH(A671),1))</f>
        <v/>
      </c>
    </row>
    <row r="672" customFormat="false" ht="15" hidden="false" customHeight="false" outlineLevel="0" collapsed="false">
      <c r="A672" s="31"/>
      <c r="B672" s="29"/>
      <c r="C672" s="29"/>
      <c r="D672" s="29"/>
      <c r="E672" s="39"/>
      <c r="F672" s="29"/>
      <c r="G672" s="38" t="str">
        <f aca="false">IF(A672="","",DATE(YEAR(A672),MONTH(A672),1))</f>
        <v/>
      </c>
    </row>
    <row r="673" customFormat="false" ht="15" hidden="false" customHeight="false" outlineLevel="0" collapsed="false">
      <c r="A673" s="31"/>
      <c r="B673" s="29"/>
      <c r="C673" s="29"/>
      <c r="D673" s="29"/>
      <c r="E673" s="39"/>
      <c r="F673" s="29"/>
      <c r="G673" s="38" t="str">
        <f aca="false">IF(A673="","",DATE(YEAR(A673),MONTH(A673),1))</f>
        <v/>
      </c>
    </row>
    <row r="674" customFormat="false" ht="15" hidden="false" customHeight="false" outlineLevel="0" collapsed="false">
      <c r="A674" s="31"/>
      <c r="B674" s="29"/>
      <c r="C674" s="29"/>
      <c r="D674" s="29"/>
      <c r="E674" s="39"/>
      <c r="F674" s="29"/>
      <c r="G674" s="38" t="str">
        <f aca="false">IF(A674="","",DATE(YEAR(A674),MONTH(A674),1))</f>
        <v/>
      </c>
    </row>
    <row r="675" customFormat="false" ht="15" hidden="false" customHeight="false" outlineLevel="0" collapsed="false">
      <c r="A675" s="31"/>
      <c r="B675" s="29"/>
      <c r="C675" s="29"/>
      <c r="D675" s="29"/>
      <c r="E675" s="39"/>
      <c r="F675" s="29"/>
      <c r="G675" s="38" t="str">
        <f aca="false">IF(A675="","",DATE(YEAR(A675),MONTH(A675),1))</f>
        <v/>
      </c>
    </row>
    <row r="676" customFormat="false" ht="15" hidden="false" customHeight="false" outlineLevel="0" collapsed="false">
      <c r="A676" s="31"/>
      <c r="B676" s="29"/>
      <c r="C676" s="29"/>
      <c r="D676" s="29"/>
      <c r="E676" s="39"/>
      <c r="F676" s="29"/>
      <c r="G676" s="38" t="str">
        <f aca="false">IF(A676="","",DATE(YEAR(A676),MONTH(A676),1))</f>
        <v/>
      </c>
    </row>
    <row r="677" customFormat="false" ht="15" hidden="false" customHeight="false" outlineLevel="0" collapsed="false">
      <c r="A677" s="31"/>
      <c r="B677" s="29"/>
      <c r="C677" s="29"/>
      <c r="D677" s="29"/>
      <c r="E677" s="39"/>
      <c r="F677" s="29"/>
      <c r="G677" s="38" t="str">
        <f aca="false">IF(A677="","",DATE(YEAR(A677),MONTH(A677),1))</f>
        <v/>
      </c>
    </row>
    <row r="678" customFormat="false" ht="15" hidden="false" customHeight="false" outlineLevel="0" collapsed="false">
      <c r="A678" s="31"/>
      <c r="B678" s="29"/>
      <c r="C678" s="29"/>
      <c r="D678" s="29"/>
      <c r="E678" s="39"/>
      <c r="F678" s="29"/>
      <c r="G678" s="38" t="str">
        <f aca="false">IF(A678="","",DATE(YEAR(A678),MONTH(A678),1))</f>
        <v/>
      </c>
    </row>
    <row r="679" customFormat="false" ht="15" hidden="false" customHeight="false" outlineLevel="0" collapsed="false">
      <c r="A679" s="31"/>
      <c r="B679" s="29"/>
      <c r="C679" s="29"/>
      <c r="D679" s="29"/>
      <c r="E679" s="39"/>
      <c r="F679" s="29"/>
      <c r="G679" s="38" t="str">
        <f aca="false">IF(A679="","",DATE(YEAR(A679),MONTH(A679),1))</f>
        <v/>
      </c>
    </row>
    <row r="680" customFormat="false" ht="15" hidden="false" customHeight="false" outlineLevel="0" collapsed="false">
      <c r="A680" s="31"/>
      <c r="B680" s="29"/>
      <c r="C680" s="29"/>
      <c r="D680" s="29"/>
      <c r="E680" s="39"/>
      <c r="F680" s="29"/>
      <c r="G680" s="38" t="str">
        <f aca="false">IF(A680="","",DATE(YEAR(A680),MONTH(A680),1))</f>
        <v/>
      </c>
    </row>
    <row r="681" customFormat="false" ht="15" hidden="false" customHeight="false" outlineLevel="0" collapsed="false">
      <c r="A681" s="31"/>
      <c r="B681" s="29"/>
      <c r="C681" s="29"/>
      <c r="D681" s="29"/>
      <c r="E681" s="39"/>
      <c r="F681" s="29"/>
      <c r="G681" s="38" t="str">
        <f aca="false">IF(A681="","",DATE(YEAR(A681),MONTH(A681),1))</f>
        <v/>
      </c>
    </row>
    <row r="682" customFormat="false" ht="15" hidden="false" customHeight="false" outlineLevel="0" collapsed="false">
      <c r="A682" s="31"/>
      <c r="B682" s="29"/>
      <c r="C682" s="29"/>
      <c r="D682" s="29"/>
      <c r="E682" s="39"/>
      <c r="F682" s="29"/>
      <c r="G682" s="38" t="str">
        <f aca="false">IF(A682="","",DATE(YEAR(A682),MONTH(A682),1))</f>
        <v/>
      </c>
    </row>
    <row r="683" customFormat="false" ht="15" hidden="false" customHeight="false" outlineLevel="0" collapsed="false">
      <c r="A683" s="31"/>
      <c r="B683" s="29"/>
      <c r="C683" s="29"/>
      <c r="D683" s="29"/>
      <c r="E683" s="39"/>
      <c r="F683" s="29"/>
      <c r="G683" s="38" t="str">
        <f aca="false">IF(A683="","",DATE(YEAR(A683),MONTH(A683),1))</f>
        <v/>
      </c>
    </row>
    <row r="684" customFormat="false" ht="15" hidden="false" customHeight="false" outlineLevel="0" collapsed="false">
      <c r="A684" s="31"/>
      <c r="B684" s="29"/>
      <c r="C684" s="29"/>
      <c r="D684" s="29"/>
      <c r="E684" s="39"/>
      <c r="F684" s="29"/>
      <c r="G684" s="38" t="str">
        <f aca="false">IF(A684="","",DATE(YEAR(A684),MONTH(A684),1))</f>
        <v/>
      </c>
    </row>
    <row r="685" customFormat="false" ht="15" hidden="false" customHeight="false" outlineLevel="0" collapsed="false">
      <c r="A685" s="31"/>
      <c r="B685" s="29"/>
      <c r="C685" s="29"/>
      <c r="D685" s="29"/>
      <c r="E685" s="39"/>
      <c r="F685" s="29"/>
      <c r="G685" s="38" t="str">
        <f aca="false">IF(A685="","",DATE(YEAR(A685),MONTH(A685),1))</f>
        <v/>
      </c>
    </row>
    <row r="686" customFormat="false" ht="15" hidden="false" customHeight="false" outlineLevel="0" collapsed="false">
      <c r="A686" s="31"/>
      <c r="B686" s="29"/>
      <c r="C686" s="29"/>
      <c r="D686" s="29"/>
      <c r="E686" s="39"/>
      <c r="F686" s="29"/>
      <c r="G686" s="38" t="str">
        <f aca="false">IF(A686="","",DATE(YEAR(A686),MONTH(A686),1))</f>
        <v/>
      </c>
    </row>
    <row r="687" customFormat="false" ht="15" hidden="false" customHeight="false" outlineLevel="0" collapsed="false">
      <c r="A687" s="31"/>
      <c r="B687" s="29"/>
      <c r="C687" s="29"/>
      <c r="D687" s="29"/>
      <c r="E687" s="39"/>
      <c r="F687" s="29"/>
      <c r="G687" s="38" t="str">
        <f aca="false">IF(A687="","",DATE(YEAR(A687),MONTH(A687),1))</f>
        <v/>
      </c>
    </row>
    <row r="688" customFormat="false" ht="15" hidden="false" customHeight="false" outlineLevel="0" collapsed="false">
      <c r="A688" s="31"/>
      <c r="B688" s="29"/>
      <c r="C688" s="29"/>
      <c r="D688" s="29"/>
      <c r="E688" s="39"/>
      <c r="F688" s="29"/>
      <c r="G688" s="38" t="str">
        <f aca="false">IF(A688="","",DATE(YEAR(A688),MONTH(A688),1))</f>
        <v/>
      </c>
    </row>
    <row r="689" customFormat="false" ht="15" hidden="false" customHeight="false" outlineLevel="0" collapsed="false">
      <c r="A689" s="31"/>
      <c r="B689" s="29"/>
      <c r="C689" s="29"/>
      <c r="D689" s="29"/>
      <c r="E689" s="39"/>
      <c r="F689" s="29"/>
      <c r="G689" s="38" t="str">
        <f aca="false">IF(A689="","",DATE(YEAR(A689),MONTH(A689),1))</f>
        <v/>
      </c>
    </row>
    <row r="690" customFormat="false" ht="15" hidden="false" customHeight="false" outlineLevel="0" collapsed="false">
      <c r="A690" s="31"/>
      <c r="B690" s="29"/>
      <c r="C690" s="29"/>
      <c r="D690" s="29"/>
      <c r="E690" s="39"/>
      <c r="F690" s="29"/>
      <c r="G690" s="38" t="str">
        <f aca="false">IF(A690="","",DATE(YEAR(A690),MONTH(A690),1))</f>
        <v/>
      </c>
    </row>
    <row r="691" customFormat="false" ht="15" hidden="false" customHeight="false" outlineLevel="0" collapsed="false">
      <c r="A691" s="31"/>
      <c r="B691" s="29"/>
      <c r="C691" s="29"/>
      <c r="D691" s="29"/>
      <c r="E691" s="39"/>
      <c r="F691" s="29"/>
      <c r="G691" s="38" t="str">
        <f aca="false">IF(A691="","",DATE(YEAR(A691),MONTH(A691),1))</f>
        <v/>
      </c>
    </row>
    <row r="692" customFormat="false" ht="15" hidden="false" customHeight="false" outlineLevel="0" collapsed="false">
      <c r="A692" s="31"/>
      <c r="B692" s="29"/>
      <c r="C692" s="29"/>
      <c r="D692" s="29"/>
      <c r="E692" s="39"/>
      <c r="F692" s="29"/>
      <c r="G692" s="38" t="str">
        <f aca="false">IF(A692="","",DATE(YEAR(A692),MONTH(A692),1))</f>
        <v/>
      </c>
    </row>
    <row r="693" customFormat="false" ht="15" hidden="false" customHeight="false" outlineLevel="0" collapsed="false">
      <c r="A693" s="31"/>
      <c r="B693" s="29"/>
      <c r="C693" s="29"/>
      <c r="D693" s="29"/>
      <c r="E693" s="39"/>
      <c r="F693" s="29"/>
      <c r="G693" s="38" t="str">
        <f aca="false">IF(A693="","",DATE(YEAR(A693),MONTH(A693),1))</f>
        <v/>
      </c>
    </row>
    <row r="694" customFormat="false" ht="15" hidden="false" customHeight="false" outlineLevel="0" collapsed="false">
      <c r="A694" s="31"/>
      <c r="B694" s="29"/>
      <c r="C694" s="29"/>
      <c r="D694" s="29"/>
      <c r="E694" s="39"/>
      <c r="F694" s="29"/>
      <c r="G694" s="38" t="str">
        <f aca="false">IF(A694="","",DATE(YEAR(A694),MONTH(A694),1))</f>
        <v/>
      </c>
    </row>
    <row r="695" customFormat="false" ht="15" hidden="false" customHeight="false" outlineLevel="0" collapsed="false">
      <c r="A695" s="31"/>
      <c r="B695" s="29"/>
      <c r="C695" s="29"/>
      <c r="D695" s="29"/>
      <c r="E695" s="39"/>
      <c r="F695" s="29"/>
      <c r="G695" s="38" t="str">
        <f aca="false">IF(A695="","",DATE(YEAR(A695),MONTH(A695),1))</f>
        <v/>
      </c>
    </row>
    <row r="696" customFormat="false" ht="15" hidden="false" customHeight="false" outlineLevel="0" collapsed="false">
      <c r="A696" s="31"/>
      <c r="B696" s="29"/>
      <c r="C696" s="29"/>
      <c r="D696" s="29"/>
      <c r="E696" s="39"/>
      <c r="F696" s="29"/>
      <c r="G696" s="38" t="str">
        <f aca="false">IF(A696="","",DATE(YEAR(A696),MONTH(A696),1))</f>
        <v/>
      </c>
    </row>
    <row r="697" customFormat="false" ht="15" hidden="false" customHeight="false" outlineLevel="0" collapsed="false">
      <c r="A697" s="31"/>
      <c r="B697" s="29"/>
      <c r="C697" s="29"/>
      <c r="D697" s="29"/>
      <c r="E697" s="39"/>
      <c r="F697" s="29"/>
      <c r="G697" s="38" t="str">
        <f aca="false">IF(A697="","",DATE(YEAR(A697),MONTH(A697),1))</f>
        <v/>
      </c>
    </row>
    <row r="698" customFormat="false" ht="15" hidden="false" customHeight="false" outlineLevel="0" collapsed="false">
      <c r="A698" s="31"/>
      <c r="B698" s="29"/>
      <c r="C698" s="29"/>
      <c r="D698" s="29"/>
      <c r="E698" s="39"/>
      <c r="F698" s="29"/>
      <c r="G698" s="38" t="str">
        <f aca="false">IF(A698="","",DATE(YEAR(A698),MONTH(A698),1))</f>
        <v/>
      </c>
    </row>
    <row r="699" customFormat="false" ht="15" hidden="false" customHeight="false" outlineLevel="0" collapsed="false">
      <c r="A699" s="31"/>
      <c r="B699" s="29"/>
      <c r="C699" s="29"/>
      <c r="D699" s="29"/>
      <c r="E699" s="39"/>
      <c r="F699" s="29"/>
      <c r="G699" s="38" t="str">
        <f aca="false">IF(A699="","",DATE(YEAR(A699),MONTH(A699),1))</f>
        <v/>
      </c>
    </row>
    <row r="700" customFormat="false" ht="15" hidden="false" customHeight="false" outlineLevel="0" collapsed="false">
      <c r="A700" s="31"/>
      <c r="B700" s="29"/>
      <c r="C700" s="29"/>
      <c r="D700" s="29"/>
      <c r="E700" s="39"/>
      <c r="F700" s="29"/>
      <c r="G700" s="38" t="str">
        <f aca="false">IF(A700="","",DATE(YEAR(A700),MONTH(A700),1))</f>
        <v/>
      </c>
    </row>
    <row r="701" customFormat="false" ht="15" hidden="false" customHeight="false" outlineLevel="0" collapsed="false">
      <c r="A701" s="31"/>
      <c r="B701" s="29"/>
      <c r="C701" s="29"/>
      <c r="D701" s="29"/>
      <c r="E701" s="39"/>
      <c r="F701" s="29"/>
      <c r="G701" s="38" t="str">
        <f aca="false">IF(A701="","",DATE(YEAR(A701),MONTH(A701),1))</f>
        <v/>
      </c>
    </row>
    <row r="702" customFormat="false" ht="15" hidden="false" customHeight="false" outlineLevel="0" collapsed="false">
      <c r="A702" s="31"/>
      <c r="B702" s="29"/>
      <c r="C702" s="29"/>
      <c r="D702" s="29"/>
      <c r="E702" s="39"/>
      <c r="F702" s="29"/>
      <c r="G702" s="38" t="str">
        <f aca="false">IF(A702="","",DATE(YEAR(A702),MONTH(A702),1))</f>
        <v/>
      </c>
    </row>
    <row r="703" customFormat="false" ht="15" hidden="false" customHeight="false" outlineLevel="0" collapsed="false">
      <c r="A703" s="31"/>
      <c r="B703" s="29"/>
      <c r="C703" s="29"/>
      <c r="D703" s="29"/>
      <c r="E703" s="39"/>
      <c r="F703" s="29"/>
      <c r="G703" s="38" t="str">
        <f aca="false">IF(A703="","",DATE(YEAR(A703),MONTH(A703),1))</f>
        <v/>
      </c>
    </row>
    <row r="704" customFormat="false" ht="15" hidden="false" customHeight="false" outlineLevel="0" collapsed="false">
      <c r="A704" s="31"/>
      <c r="B704" s="29"/>
      <c r="C704" s="29"/>
      <c r="D704" s="29"/>
      <c r="E704" s="39"/>
      <c r="F704" s="29"/>
      <c r="G704" s="38" t="str">
        <f aca="false">IF(A704="","",DATE(YEAR(A704),MONTH(A704),1))</f>
        <v/>
      </c>
    </row>
    <row r="705" customFormat="false" ht="15" hidden="false" customHeight="false" outlineLevel="0" collapsed="false">
      <c r="A705" s="31"/>
      <c r="B705" s="29"/>
      <c r="C705" s="29"/>
      <c r="D705" s="29"/>
      <c r="E705" s="39"/>
      <c r="F705" s="29"/>
      <c r="G705" s="38" t="str">
        <f aca="false">IF(A705="","",DATE(YEAR(A705),MONTH(A705),1))</f>
        <v/>
      </c>
    </row>
    <row r="706" customFormat="false" ht="15" hidden="false" customHeight="false" outlineLevel="0" collapsed="false">
      <c r="A706" s="31"/>
      <c r="B706" s="29"/>
      <c r="C706" s="29"/>
      <c r="D706" s="29"/>
      <c r="E706" s="39"/>
      <c r="F706" s="29"/>
      <c r="G706" s="38" t="str">
        <f aca="false">IF(A706="","",DATE(YEAR(A706),MONTH(A706),1))</f>
        <v/>
      </c>
    </row>
    <row r="707" customFormat="false" ht="15" hidden="false" customHeight="false" outlineLevel="0" collapsed="false">
      <c r="A707" s="31"/>
      <c r="B707" s="29"/>
      <c r="C707" s="29"/>
      <c r="D707" s="29"/>
      <c r="E707" s="39"/>
      <c r="F707" s="29"/>
      <c r="G707" s="38" t="str">
        <f aca="false">IF(A707="","",DATE(YEAR(A707),MONTH(A707),1))</f>
        <v/>
      </c>
    </row>
    <row r="708" customFormat="false" ht="15" hidden="false" customHeight="false" outlineLevel="0" collapsed="false">
      <c r="A708" s="31"/>
      <c r="B708" s="29"/>
      <c r="C708" s="29"/>
      <c r="D708" s="29"/>
      <c r="E708" s="39"/>
      <c r="F708" s="29"/>
      <c r="G708" s="38" t="str">
        <f aca="false">IF(A708="","",DATE(YEAR(A708),MONTH(A708),1))</f>
        <v/>
      </c>
    </row>
    <row r="709" customFormat="false" ht="15" hidden="false" customHeight="false" outlineLevel="0" collapsed="false">
      <c r="A709" s="31"/>
      <c r="B709" s="29"/>
      <c r="C709" s="29"/>
      <c r="D709" s="29"/>
      <c r="E709" s="39"/>
      <c r="F709" s="29"/>
      <c r="G709" s="38" t="str">
        <f aca="false">IF(A709="","",DATE(YEAR(A709),MONTH(A709),1))</f>
        <v/>
      </c>
    </row>
    <row r="710" customFormat="false" ht="15" hidden="false" customHeight="false" outlineLevel="0" collapsed="false">
      <c r="A710" s="31"/>
      <c r="B710" s="29"/>
      <c r="C710" s="29"/>
      <c r="D710" s="29"/>
      <c r="E710" s="39"/>
      <c r="F710" s="29"/>
      <c r="G710" s="38" t="str">
        <f aca="false">IF(A710="","",DATE(YEAR(A710),MONTH(A710),1))</f>
        <v/>
      </c>
    </row>
    <row r="711" customFormat="false" ht="15" hidden="false" customHeight="false" outlineLevel="0" collapsed="false">
      <c r="A711" s="31"/>
      <c r="B711" s="29"/>
      <c r="C711" s="29"/>
      <c r="D711" s="29"/>
      <c r="E711" s="39"/>
      <c r="F711" s="29"/>
      <c r="G711" s="38" t="str">
        <f aca="false">IF(A711="","",DATE(YEAR(A711),MONTH(A711),1))</f>
        <v/>
      </c>
    </row>
    <row r="712" customFormat="false" ht="15" hidden="false" customHeight="false" outlineLevel="0" collapsed="false">
      <c r="A712" s="31"/>
      <c r="B712" s="29"/>
      <c r="C712" s="29"/>
      <c r="D712" s="29"/>
      <c r="E712" s="39"/>
      <c r="F712" s="29"/>
      <c r="G712" s="38" t="str">
        <f aca="false">IF(A712="","",DATE(YEAR(A712),MONTH(A712),1))</f>
        <v/>
      </c>
    </row>
    <row r="713" customFormat="false" ht="15" hidden="false" customHeight="false" outlineLevel="0" collapsed="false">
      <c r="A713" s="31"/>
      <c r="B713" s="29"/>
      <c r="C713" s="29"/>
      <c r="D713" s="29"/>
      <c r="E713" s="39"/>
      <c r="F713" s="29"/>
      <c r="G713" s="38" t="str">
        <f aca="false">IF(A713="","",DATE(YEAR(A713),MONTH(A713),1))</f>
        <v/>
      </c>
    </row>
    <row r="714" customFormat="false" ht="15" hidden="false" customHeight="false" outlineLevel="0" collapsed="false">
      <c r="A714" s="31"/>
      <c r="B714" s="29"/>
      <c r="C714" s="29"/>
      <c r="D714" s="29"/>
      <c r="E714" s="39"/>
      <c r="F714" s="29"/>
      <c r="G714" s="38" t="str">
        <f aca="false">IF(A714="","",DATE(YEAR(A714),MONTH(A714),1))</f>
        <v/>
      </c>
    </row>
    <row r="715" customFormat="false" ht="15" hidden="false" customHeight="false" outlineLevel="0" collapsed="false">
      <c r="A715" s="31"/>
      <c r="B715" s="29"/>
      <c r="C715" s="29"/>
      <c r="D715" s="29"/>
      <c r="E715" s="39"/>
      <c r="F715" s="29"/>
      <c r="G715" s="38" t="str">
        <f aca="false">IF(A715="","",DATE(YEAR(A715),MONTH(A715),1))</f>
        <v/>
      </c>
    </row>
    <row r="716" customFormat="false" ht="15" hidden="false" customHeight="false" outlineLevel="0" collapsed="false">
      <c r="A716" s="31"/>
      <c r="B716" s="29"/>
      <c r="C716" s="29"/>
      <c r="D716" s="29"/>
      <c r="E716" s="39"/>
      <c r="F716" s="29"/>
      <c r="G716" s="38" t="str">
        <f aca="false">IF(A716="","",DATE(YEAR(A716),MONTH(A716),1))</f>
        <v/>
      </c>
    </row>
    <row r="717" customFormat="false" ht="15" hidden="false" customHeight="false" outlineLevel="0" collapsed="false">
      <c r="A717" s="31"/>
      <c r="B717" s="29"/>
      <c r="C717" s="29"/>
      <c r="D717" s="29"/>
      <c r="E717" s="39"/>
      <c r="F717" s="29"/>
      <c r="G717" s="38" t="str">
        <f aca="false">IF(A717="","",DATE(YEAR(A717),MONTH(A717),1))</f>
        <v/>
      </c>
    </row>
    <row r="718" customFormat="false" ht="15" hidden="false" customHeight="false" outlineLevel="0" collapsed="false">
      <c r="A718" s="31"/>
      <c r="B718" s="29"/>
      <c r="C718" s="29"/>
      <c r="D718" s="29"/>
      <c r="E718" s="39"/>
      <c r="F718" s="29"/>
      <c r="G718" s="38" t="str">
        <f aca="false">IF(A718="","",DATE(YEAR(A718),MONTH(A718),1))</f>
        <v/>
      </c>
    </row>
    <row r="719" customFormat="false" ht="15" hidden="false" customHeight="false" outlineLevel="0" collapsed="false">
      <c r="A719" s="31"/>
      <c r="B719" s="29"/>
      <c r="C719" s="29"/>
      <c r="D719" s="29"/>
      <c r="E719" s="39"/>
      <c r="F719" s="29"/>
      <c r="G719" s="38" t="str">
        <f aca="false">IF(A719="","",DATE(YEAR(A719),MONTH(A719),1))</f>
        <v/>
      </c>
    </row>
    <row r="720" customFormat="false" ht="15" hidden="false" customHeight="false" outlineLevel="0" collapsed="false">
      <c r="A720" s="31"/>
      <c r="B720" s="29"/>
      <c r="C720" s="29"/>
      <c r="D720" s="29"/>
      <c r="E720" s="39"/>
      <c r="F720" s="29"/>
      <c r="G720" s="38" t="str">
        <f aca="false">IF(A720="","",DATE(YEAR(A720),MONTH(A720),1))</f>
        <v/>
      </c>
    </row>
    <row r="721" customFormat="false" ht="15" hidden="false" customHeight="false" outlineLevel="0" collapsed="false">
      <c r="A721" s="31"/>
      <c r="B721" s="29"/>
      <c r="C721" s="29"/>
      <c r="D721" s="29"/>
      <c r="E721" s="39"/>
      <c r="F721" s="29"/>
      <c r="G721" s="38" t="str">
        <f aca="false">IF(A721="","",DATE(YEAR(A721),MONTH(A721),1))</f>
        <v/>
      </c>
    </row>
    <row r="722" customFormat="false" ht="15" hidden="false" customHeight="false" outlineLevel="0" collapsed="false">
      <c r="A722" s="31"/>
      <c r="B722" s="29"/>
      <c r="C722" s="29"/>
      <c r="D722" s="29"/>
      <c r="E722" s="39"/>
      <c r="F722" s="29"/>
      <c r="G722" s="38" t="str">
        <f aca="false">IF(A722="","",DATE(YEAR(A722),MONTH(A722),1))</f>
        <v/>
      </c>
    </row>
    <row r="723" customFormat="false" ht="15" hidden="false" customHeight="false" outlineLevel="0" collapsed="false">
      <c r="A723" s="31"/>
      <c r="B723" s="29"/>
      <c r="C723" s="29"/>
      <c r="D723" s="29"/>
      <c r="E723" s="39"/>
      <c r="F723" s="29"/>
      <c r="G723" s="38" t="str">
        <f aca="false">IF(A723="","",DATE(YEAR(A723),MONTH(A723),1))</f>
        <v/>
      </c>
    </row>
    <row r="724" customFormat="false" ht="15" hidden="false" customHeight="false" outlineLevel="0" collapsed="false">
      <c r="A724" s="31"/>
      <c r="B724" s="29"/>
      <c r="C724" s="29"/>
      <c r="D724" s="29"/>
      <c r="E724" s="39"/>
      <c r="F724" s="29"/>
      <c r="G724" s="38" t="str">
        <f aca="false">IF(A724="","",DATE(YEAR(A724),MONTH(A724),1))</f>
        <v/>
      </c>
    </row>
    <row r="725" customFormat="false" ht="15" hidden="false" customHeight="false" outlineLevel="0" collapsed="false">
      <c r="A725" s="31"/>
      <c r="B725" s="29"/>
      <c r="C725" s="29"/>
      <c r="D725" s="29"/>
      <c r="E725" s="39"/>
      <c r="F725" s="29"/>
      <c r="G725" s="38" t="str">
        <f aca="false">IF(A725="","",DATE(YEAR(A725),MONTH(A725),1))</f>
        <v/>
      </c>
    </row>
    <row r="726" customFormat="false" ht="15" hidden="false" customHeight="false" outlineLevel="0" collapsed="false">
      <c r="A726" s="31"/>
      <c r="B726" s="29"/>
      <c r="C726" s="29"/>
      <c r="D726" s="29"/>
      <c r="E726" s="39"/>
      <c r="F726" s="29"/>
      <c r="G726" s="38" t="str">
        <f aca="false">IF(A726="","",DATE(YEAR(A726),MONTH(A726),1))</f>
        <v/>
      </c>
    </row>
    <row r="727" customFormat="false" ht="15" hidden="false" customHeight="false" outlineLevel="0" collapsed="false">
      <c r="A727" s="31"/>
      <c r="B727" s="29"/>
      <c r="C727" s="29"/>
      <c r="D727" s="29"/>
      <c r="E727" s="39"/>
      <c r="F727" s="29"/>
      <c r="G727" s="38" t="str">
        <f aca="false">IF(A727="","",DATE(YEAR(A727),MONTH(A727),1))</f>
        <v/>
      </c>
    </row>
    <row r="728" customFormat="false" ht="15" hidden="false" customHeight="false" outlineLevel="0" collapsed="false">
      <c r="A728" s="31"/>
      <c r="B728" s="29"/>
      <c r="C728" s="29"/>
      <c r="D728" s="29"/>
      <c r="E728" s="39"/>
      <c r="F728" s="29"/>
      <c r="G728" s="38" t="str">
        <f aca="false">IF(A728="","",DATE(YEAR(A728),MONTH(A728),1))</f>
        <v/>
      </c>
    </row>
    <row r="729" customFormat="false" ht="15" hidden="false" customHeight="false" outlineLevel="0" collapsed="false">
      <c r="A729" s="31"/>
      <c r="B729" s="29"/>
      <c r="C729" s="29"/>
      <c r="D729" s="29"/>
      <c r="E729" s="39"/>
      <c r="F729" s="29"/>
      <c r="G729" s="38" t="str">
        <f aca="false">IF(A729="","",DATE(YEAR(A729),MONTH(A729),1))</f>
        <v/>
      </c>
    </row>
    <row r="730" customFormat="false" ht="15" hidden="false" customHeight="false" outlineLevel="0" collapsed="false">
      <c r="A730" s="31"/>
      <c r="B730" s="29"/>
      <c r="C730" s="29"/>
      <c r="D730" s="29"/>
      <c r="E730" s="39"/>
      <c r="F730" s="29"/>
      <c r="G730" s="38" t="str">
        <f aca="false">IF(A730="","",DATE(YEAR(A730),MONTH(A730),1))</f>
        <v/>
      </c>
    </row>
    <row r="731" customFormat="false" ht="15" hidden="false" customHeight="false" outlineLevel="0" collapsed="false">
      <c r="A731" s="31"/>
      <c r="B731" s="29"/>
      <c r="C731" s="29"/>
      <c r="D731" s="29"/>
      <c r="E731" s="39"/>
      <c r="F731" s="29"/>
      <c r="G731" s="38" t="str">
        <f aca="false">IF(A731="","",DATE(YEAR(A731),MONTH(A731),1))</f>
        <v/>
      </c>
    </row>
    <row r="732" customFormat="false" ht="15" hidden="false" customHeight="false" outlineLevel="0" collapsed="false">
      <c r="A732" s="31"/>
      <c r="B732" s="29"/>
      <c r="C732" s="29"/>
      <c r="D732" s="29"/>
      <c r="E732" s="39"/>
      <c r="F732" s="29"/>
      <c r="G732" s="38" t="str">
        <f aca="false">IF(A732="","",DATE(YEAR(A732),MONTH(A732),1))</f>
        <v/>
      </c>
    </row>
    <row r="733" customFormat="false" ht="15" hidden="false" customHeight="false" outlineLevel="0" collapsed="false">
      <c r="A733" s="31"/>
      <c r="B733" s="29"/>
      <c r="C733" s="29"/>
      <c r="D733" s="29"/>
      <c r="E733" s="39"/>
      <c r="F733" s="29"/>
      <c r="G733" s="38" t="str">
        <f aca="false">IF(A733="","",DATE(YEAR(A733),MONTH(A733),1))</f>
        <v/>
      </c>
    </row>
    <row r="734" customFormat="false" ht="15" hidden="false" customHeight="false" outlineLevel="0" collapsed="false">
      <c r="A734" s="31"/>
      <c r="B734" s="29"/>
      <c r="C734" s="29"/>
      <c r="D734" s="29"/>
      <c r="E734" s="39"/>
      <c r="F734" s="29"/>
      <c r="G734" s="38" t="str">
        <f aca="false">IF(A734="","",DATE(YEAR(A734),MONTH(A734),1))</f>
        <v/>
      </c>
    </row>
    <row r="735" customFormat="false" ht="15" hidden="false" customHeight="false" outlineLevel="0" collapsed="false">
      <c r="A735" s="31"/>
      <c r="B735" s="29"/>
      <c r="C735" s="29"/>
      <c r="D735" s="29"/>
      <c r="E735" s="39"/>
      <c r="F735" s="29"/>
      <c r="G735" s="38" t="str">
        <f aca="false">IF(A735="","",DATE(YEAR(A735),MONTH(A735),1))</f>
        <v/>
      </c>
    </row>
    <row r="736" customFormat="false" ht="15" hidden="false" customHeight="false" outlineLevel="0" collapsed="false">
      <c r="A736" s="31"/>
      <c r="B736" s="29"/>
      <c r="C736" s="29"/>
      <c r="D736" s="29"/>
      <c r="E736" s="39"/>
      <c r="F736" s="29"/>
      <c r="G736" s="38" t="str">
        <f aca="false">IF(A736="","",DATE(YEAR(A736),MONTH(A736),1))</f>
        <v/>
      </c>
    </row>
    <row r="737" customFormat="false" ht="15" hidden="false" customHeight="false" outlineLevel="0" collapsed="false">
      <c r="A737" s="31"/>
      <c r="B737" s="29"/>
      <c r="C737" s="29"/>
      <c r="D737" s="29"/>
      <c r="E737" s="39"/>
      <c r="F737" s="29"/>
      <c r="G737" s="38" t="str">
        <f aca="false">IF(A737="","",DATE(YEAR(A737),MONTH(A737),1))</f>
        <v/>
      </c>
    </row>
    <row r="738" customFormat="false" ht="15" hidden="false" customHeight="false" outlineLevel="0" collapsed="false">
      <c r="A738" s="31"/>
      <c r="B738" s="29"/>
      <c r="C738" s="29"/>
      <c r="D738" s="29"/>
      <c r="E738" s="39"/>
      <c r="F738" s="29"/>
      <c r="G738" s="38" t="str">
        <f aca="false">IF(A738="","",DATE(YEAR(A738),MONTH(A738),1))</f>
        <v/>
      </c>
    </row>
    <row r="739" customFormat="false" ht="15" hidden="false" customHeight="false" outlineLevel="0" collapsed="false">
      <c r="A739" s="31"/>
      <c r="B739" s="29"/>
      <c r="C739" s="29"/>
      <c r="D739" s="29"/>
      <c r="E739" s="39"/>
      <c r="F739" s="29"/>
      <c r="G739" s="38" t="str">
        <f aca="false">IF(A739="","",DATE(YEAR(A739),MONTH(A739),1))</f>
        <v/>
      </c>
    </row>
    <row r="740" customFormat="false" ht="15" hidden="false" customHeight="false" outlineLevel="0" collapsed="false">
      <c r="A740" s="31"/>
      <c r="B740" s="29"/>
      <c r="C740" s="29"/>
      <c r="D740" s="29"/>
      <c r="E740" s="39"/>
      <c r="F740" s="29"/>
      <c r="G740" s="38" t="str">
        <f aca="false">IF(A740="","",DATE(YEAR(A740),MONTH(A740),1))</f>
        <v/>
      </c>
    </row>
    <row r="741" customFormat="false" ht="15" hidden="false" customHeight="false" outlineLevel="0" collapsed="false">
      <c r="A741" s="31"/>
      <c r="B741" s="29"/>
      <c r="C741" s="29"/>
      <c r="D741" s="29"/>
      <c r="E741" s="39"/>
      <c r="F741" s="29"/>
      <c r="G741" s="38" t="str">
        <f aca="false">IF(A741="","",DATE(YEAR(A741),MONTH(A741),1))</f>
        <v/>
      </c>
    </row>
    <row r="742" customFormat="false" ht="15" hidden="false" customHeight="false" outlineLevel="0" collapsed="false">
      <c r="A742" s="31"/>
      <c r="B742" s="29"/>
      <c r="C742" s="29"/>
      <c r="D742" s="29"/>
      <c r="E742" s="39"/>
      <c r="F742" s="29"/>
      <c r="G742" s="38" t="str">
        <f aca="false">IF(A742="","",DATE(YEAR(A742),MONTH(A742),1))</f>
        <v/>
      </c>
    </row>
    <row r="743" customFormat="false" ht="15" hidden="false" customHeight="false" outlineLevel="0" collapsed="false">
      <c r="A743" s="31"/>
      <c r="B743" s="29"/>
      <c r="C743" s="29"/>
      <c r="D743" s="29"/>
      <c r="E743" s="39"/>
      <c r="F743" s="29"/>
      <c r="G743" s="38" t="str">
        <f aca="false">IF(A743="","",DATE(YEAR(A743),MONTH(A743),1))</f>
        <v/>
      </c>
    </row>
    <row r="744" customFormat="false" ht="15" hidden="false" customHeight="false" outlineLevel="0" collapsed="false">
      <c r="A744" s="31"/>
      <c r="B744" s="29"/>
      <c r="C744" s="29"/>
      <c r="D744" s="29"/>
      <c r="E744" s="39"/>
      <c r="F744" s="29"/>
      <c r="G744" s="38" t="str">
        <f aca="false">IF(A744="","",DATE(YEAR(A744),MONTH(A744),1))</f>
        <v/>
      </c>
    </row>
    <row r="745" customFormat="false" ht="15" hidden="false" customHeight="false" outlineLevel="0" collapsed="false">
      <c r="A745" s="31"/>
      <c r="B745" s="29"/>
      <c r="C745" s="29"/>
      <c r="D745" s="29"/>
      <c r="E745" s="39"/>
      <c r="F745" s="29"/>
      <c r="G745" s="38" t="str">
        <f aca="false">IF(A745="","",DATE(YEAR(A745),MONTH(A745),1))</f>
        <v/>
      </c>
    </row>
    <row r="746" customFormat="false" ht="15" hidden="false" customHeight="false" outlineLevel="0" collapsed="false">
      <c r="A746" s="31"/>
      <c r="B746" s="29"/>
      <c r="C746" s="29"/>
      <c r="D746" s="29"/>
      <c r="E746" s="39"/>
      <c r="F746" s="29"/>
      <c r="G746" s="38" t="str">
        <f aca="false">IF(A746="","",DATE(YEAR(A746),MONTH(A746),1))</f>
        <v/>
      </c>
    </row>
    <row r="747" customFormat="false" ht="15" hidden="false" customHeight="false" outlineLevel="0" collapsed="false">
      <c r="A747" s="31"/>
      <c r="B747" s="29"/>
      <c r="C747" s="29"/>
      <c r="D747" s="29"/>
      <c r="E747" s="39"/>
      <c r="F747" s="29"/>
      <c r="G747" s="38" t="str">
        <f aca="false">IF(A747="","",DATE(YEAR(A747),MONTH(A747),1))</f>
        <v/>
      </c>
    </row>
    <row r="748" customFormat="false" ht="15" hidden="false" customHeight="false" outlineLevel="0" collapsed="false">
      <c r="A748" s="31"/>
      <c r="B748" s="29"/>
      <c r="C748" s="29"/>
      <c r="D748" s="29"/>
      <c r="E748" s="39"/>
      <c r="F748" s="29"/>
      <c r="G748" s="38" t="str">
        <f aca="false">IF(A748="","",DATE(YEAR(A748),MONTH(A748),1))</f>
        <v/>
      </c>
    </row>
    <row r="749" customFormat="false" ht="15" hidden="false" customHeight="false" outlineLevel="0" collapsed="false">
      <c r="A749" s="31"/>
      <c r="B749" s="29"/>
      <c r="C749" s="29"/>
      <c r="D749" s="29"/>
      <c r="E749" s="39"/>
      <c r="F749" s="29"/>
      <c r="G749" s="38" t="str">
        <f aca="false">IF(A749="","",DATE(YEAR(A749),MONTH(A749),1))</f>
        <v/>
      </c>
    </row>
    <row r="750" customFormat="false" ht="15" hidden="false" customHeight="false" outlineLevel="0" collapsed="false">
      <c r="A750" s="31"/>
      <c r="B750" s="29"/>
      <c r="C750" s="29"/>
      <c r="D750" s="29"/>
      <c r="E750" s="39"/>
      <c r="F750" s="29"/>
      <c r="G750" s="38" t="str">
        <f aca="false">IF(A750="","",DATE(YEAR(A750),MONTH(A750),1))</f>
        <v/>
      </c>
    </row>
    <row r="751" customFormat="false" ht="15" hidden="false" customHeight="false" outlineLevel="0" collapsed="false">
      <c r="A751" s="31"/>
      <c r="B751" s="29"/>
      <c r="C751" s="29"/>
      <c r="D751" s="29"/>
      <c r="E751" s="39"/>
      <c r="F751" s="29"/>
      <c r="G751" s="38" t="str">
        <f aca="false">IF(A751="","",DATE(YEAR(A751),MONTH(A751),1))</f>
        <v/>
      </c>
    </row>
    <row r="752" customFormat="false" ht="15" hidden="false" customHeight="false" outlineLevel="0" collapsed="false">
      <c r="A752" s="31"/>
      <c r="B752" s="29"/>
      <c r="C752" s="29"/>
      <c r="D752" s="29"/>
      <c r="E752" s="39"/>
      <c r="F752" s="29"/>
      <c r="G752" s="38" t="str">
        <f aca="false">IF(A752="","",DATE(YEAR(A752),MONTH(A752),1))</f>
        <v/>
      </c>
    </row>
    <row r="753" customFormat="false" ht="15" hidden="false" customHeight="false" outlineLevel="0" collapsed="false">
      <c r="A753" s="31"/>
      <c r="B753" s="29"/>
      <c r="C753" s="29"/>
      <c r="D753" s="29"/>
      <c r="E753" s="39"/>
      <c r="F753" s="29"/>
      <c r="G753" s="38" t="str">
        <f aca="false">IF(A753="","",DATE(YEAR(A753),MONTH(A753),1))</f>
        <v/>
      </c>
    </row>
    <row r="754" customFormat="false" ht="15" hidden="false" customHeight="false" outlineLevel="0" collapsed="false">
      <c r="A754" s="31"/>
      <c r="B754" s="29"/>
      <c r="C754" s="29"/>
      <c r="D754" s="29"/>
      <c r="E754" s="39"/>
      <c r="F754" s="29"/>
      <c r="G754" s="38" t="str">
        <f aca="false">IF(A754="","",DATE(YEAR(A754),MONTH(A754),1))</f>
        <v/>
      </c>
    </row>
    <row r="755" customFormat="false" ht="15" hidden="false" customHeight="false" outlineLevel="0" collapsed="false">
      <c r="A755" s="31"/>
      <c r="B755" s="29"/>
      <c r="C755" s="29"/>
      <c r="D755" s="29"/>
      <c r="E755" s="39"/>
      <c r="F755" s="29"/>
      <c r="G755" s="38" t="str">
        <f aca="false">IF(A755="","",DATE(YEAR(A755),MONTH(A755),1))</f>
        <v/>
      </c>
    </row>
    <row r="756" customFormat="false" ht="15" hidden="false" customHeight="false" outlineLevel="0" collapsed="false">
      <c r="A756" s="31"/>
      <c r="B756" s="29"/>
      <c r="C756" s="29"/>
      <c r="D756" s="29"/>
      <c r="E756" s="39"/>
      <c r="F756" s="29"/>
      <c r="G756" s="38" t="str">
        <f aca="false">IF(A756="","",DATE(YEAR(A756),MONTH(A756),1))</f>
        <v/>
      </c>
    </row>
    <row r="757" customFormat="false" ht="15" hidden="false" customHeight="false" outlineLevel="0" collapsed="false">
      <c r="A757" s="31"/>
      <c r="B757" s="29"/>
      <c r="C757" s="29"/>
      <c r="D757" s="29"/>
      <c r="E757" s="39"/>
      <c r="F757" s="29"/>
      <c r="G757" s="38" t="str">
        <f aca="false">IF(A757="","",DATE(YEAR(A757),MONTH(A757),1))</f>
        <v/>
      </c>
    </row>
    <row r="758" customFormat="false" ht="15" hidden="false" customHeight="false" outlineLevel="0" collapsed="false">
      <c r="A758" s="31"/>
      <c r="B758" s="29"/>
      <c r="C758" s="29"/>
      <c r="D758" s="29"/>
      <c r="E758" s="39"/>
      <c r="F758" s="29"/>
      <c r="G758" s="38" t="str">
        <f aca="false">IF(A758="","",DATE(YEAR(A758),MONTH(A758),1))</f>
        <v/>
      </c>
    </row>
    <row r="759" customFormat="false" ht="15" hidden="false" customHeight="false" outlineLevel="0" collapsed="false">
      <c r="A759" s="31"/>
      <c r="B759" s="29"/>
      <c r="C759" s="29"/>
      <c r="D759" s="29"/>
      <c r="E759" s="39"/>
      <c r="F759" s="29"/>
      <c r="G759" s="38" t="str">
        <f aca="false">IF(A759="","",DATE(YEAR(A759),MONTH(A759),1))</f>
        <v/>
      </c>
    </row>
    <row r="760" customFormat="false" ht="15" hidden="false" customHeight="false" outlineLevel="0" collapsed="false">
      <c r="A760" s="31"/>
      <c r="B760" s="29"/>
      <c r="C760" s="29"/>
      <c r="D760" s="29"/>
      <c r="E760" s="39"/>
      <c r="F760" s="29"/>
      <c r="G760" s="38" t="str">
        <f aca="false">IF(A760="","",DATE(YEAR(A760),MONTH(A760),1))</f>
        <v/>
      </c>
    </row>
    <row r="761" customFormat="false" ht="15" hidden="false" customHeight="false" outlineLevel="0" collapsed="false">
      <c r="A761" s="31"/>
      <c r="B761" s="29"/>
      <c r="C761" s="29"/>
      <c r="D761" s="29"/>
      <c r="E761" s="39"/>
      <c r="F761" s="29"/>
      <c r="G761" s="38" t="str">
        <f aca="false">IF(A761="","",DATE(YEAR(A761),MONTH(A761),1))</f>
        <v/>
      </c>
    </row>
    <row r="762" customFormat="false" ht="15" hidden="false" customHeight="false" outlineLevel="0" collapsed="false">
      <c r="A762" s="31"/>
      <c r="B762" s="29"/>
      <c r="C762" s="29"/>
      <c r="D762" s="29"/>
      <c r="E762" s="39"/>
      <c r="F762" s="29"/>
      <c r="G762" s="38" t="str">
        <f aca="false">IF(A762="","",DATE(YEAR(A762),MONTH(A762),1))</f>
        <v/>
      </c>
    </row>
    <row r="763" customFormat="false" ht="15" hidden="false" customHeight="false" outlineLevel="0" collapsed="false">
      <c r="A763" s="31"/>
      <c r="B763" s="29"/>
      <c r="C763" s="29"/>
      <c r="D763" s="29"/>
      <c r="E763" s="39"/>
      <c r="F763" s="29"/>
      <c r="G763" s="38" t="str">
        <f aca="false">IF(A763="","",DATE(YEAR(A763),MONTH(A763),1))</f>
        <v/>
      </c>
    </row>
    <row r="764" customFormat="false" ht="15" hidden="false" customHeight="false" outlineLevel="0" collapsed="false">
      <c r="A764" s="31"/>
      <c r="B764" s="29"/>
      <c r="C764" s="29"/>
      <c r="D764" s="29"/>
      <c r="E764" s="39"/>
      <c r="F764" s="29"/>
      <c r="G764" s="38" t="str">
        <f aca="false">IF(A764="","",DATE(YEAR(A764),MONTH(A764),1))</f>
        <v/>
      </c>
    </row>
    <row r="765" customFormat="false" ht="15" hidden="false" customHeight="false" outlineLevel="0" collapsed="false">
      <c r="A765" s="31"/>
      <c r="B765" s="29"/>
      <c r="C765" s="29"/>
      <c r="D765" s="29"/>
      <c r="E765" s="39"/>
      <c r="F765" s="29"/>
      <c r="G765" s="38" t="str">
        <f aca="false">IF(A765="","",DATE(YEAR(A765),MONTH(A765),1))</f>
        <v/>
      </c>
    </row>
    <row r="766" customFormat="false" ht="15" hidden="false" customHeight="false" outlineLevel="0" collapsed="false">
      <c r="A766" s="31"/>
      <c r="B766" s="29"/>
      <c r="C766" s="29"/>
      <c r="D766" s="29"/>
      <c r="E766" s="39"/>
      <c r="F766" s="29"/>
      <c r="G766" s="38" t="str">
        <f aca="false">IF(A766="","",DATE(YEAR(A766),MONTH(A766),1))</f>
        <v/>
      </c>
    </row>
    <row r="767" customFormat="false" ht="15" hidden="false" customHeight="false" outlineLevel="0" collapsed="false">
      <c r="A767" s="31"/>
      <c r="B767" s="29"/>
      <c r="C767" s="29"/>
      <c r="D767" s="29"/>
      <c r="E767" s="39"/>
      <c r="F767" s="29"/>
      <c r="G767" s="38" t="str">
        <f aca="false">IF(A767="","",DATE(YEAR(A767),MONTH(A767),1))</f>
        <v/>
      </c>
    </row>
    <row r="768" customFormat="false" ht="15" hidden="false" customHeight="false" outlineLevel="0" collapsed="false">
      <c r="A768" s="31"/>
      <c r="B768" s="29"/>
      <c r="C768" s="29"/>
      <c r="D768" s="29"/>
      <c r="E768" s="39"/>
      <c r="F768" s="29"/>
      <c r="G768" s="38" t="str">
        <f aca="false">IF(A768="","",DATE(YEAR(A768),MONTH(A768),1))</f>
        <v/>
      </c>
    </row>
    <row r="769" customFormat="false" ht="15" hidden="false" customHeight="false" outlineLevel="0" collapsed="false">
      <c r="A769" s="31"/>
      <c r="B769" s="29"/>
      <c r="C769" s="29"/>
      <c r="D769" s="29"/>
      <c r="E769" s="39"/>
      <c r="F769" s="29"/>
      <c r="G769" s="38" t="str">
        <f aca="false">IF(A769="","",DATE(YEAR(A769),MONTH(A769),1))</f>
        <v/>
      </c>
    </row>
    <row r="770" customFormat="false" ht="15" hidden="false" customHeight="false" outlineLevel="0" collapsed="false">
      <c r="A770" s="31"/>
      <c r="B770" s="29"/>
      <c r="C770" s="29"/>
      <c r="D770" s="29"/>
      <c r="E770" s="39"/>
      <c r="F770" s="29"/>
      <c r="G770" s="38" t="str">
        <f aca="false">IF(A770="","",DATE(YEAR(A770),MONTH(A770),1))</f>
        <v/>
      </c>
    </row>
    <row r="771" customFormat="false" ht="15" hidden="false" customHeight="false" outlineLevel="0" collapsed="false">
      <c r="A771" s="31"/>
      <c r="B771" s="29"/>
      <c r="C771" s="29"/>
      <c r="D771" s="29"/>
      <c r="E771" s="39"/>
      <c r="F771" s="29"/>
      <c r="G771" s="38" t="str">
        <f aca="false">IF(A771="","",DATE(YEAR(A771),MONTH(A771),1))</f>
        <v/>
      </c>
    </row>
    <row r="772" customFormat="false" ht="15" hidden="false" customHeight="false" outlineLevel="0" collapsed="false">
      <c r="A772" s="31"/>
      <c r="B772" s="29"/>
      <c r="C772" s="29"/>
      <c r="D772" s="29"/>
      <c r="E772" s="39"/>
      <c r="F772" s="29"/>
      <c r="G772" s="38" t="str">
        <f aca="false">IF(A772="","",DATE(YEAR(A772),MONTH(A772),1))</f>
        <v/>
      </c>
    </row>
    <row r="773" customFormat="false" ht="15" hidden="false" customHeight="false" outlineLevel="0" collapsed="false">
      <c r="A773" s="31"/>
      <c r="B773" s="29"/>
      <c r="C773" s="29"/>
      <c r="D773" s="29"/>
      <c r="E773" s="39"/>
      <c r="F773" s="29"/>
      <c r="G773" s="38" t="str">
        <f aca="false">IF(A773="","",DATE(YEAR(A773),MONTH(A773),1))</f>
        <v/>
      </c>
    </row>
    <row r="774" customFormat="false" ht="15" hidden="false" customHeight="false" outlineLevel="0" collapsed="false">
      <c r="A774" s="31"/>
      <c r="B774" s="29"/>
      <c r="C774" s="29"/>
      <c r="D774" s="29"/>
      <c r="E774" s="39"/>
      <c r="F774" s="29"/>
      <c r="G774" s="38" t="str">
        <f aca="false">IF(A774="","",DATE(YEAR(A774),MONTH(A774),1))</f>
        <v/>
      </c>
    </row>
    <row r="775" customFormat="false" ht="15" hidden="false" customHeight="false" outlineLevel="0" collapsed="false">
      <c r="A775" s="31"/>
      <c r="B775" s="29"/>
      <c r="C775" s="29"/>
      <c r="D775" s="29"/>
      <c r="E775" s="39"/>
      <c r="F775" s="29"/>
      <c r="G775" s="38" t="str">
        <f aca="false">IF(A775="","",DATE(YEAR(A775),MONTH(A775),1))</f>
        <v/>
      </c>
    </row>
    <row r="776" customFormat="false" ht="15" hidden="false" customHeight="false" outlineLevel="0" collapsed="false">
      <c r="A776" s="31"/>
      <c r="B776" s="29"/>
      <c r="C776" s="29"/>
      <c r="D776" s="29"/>
      <c r="E776" s="39"/>
      <c r="F776" s="29"/>
      <c r="G776" s="38" t="str">
        <f aca="false">IF(A776="","",DATE(YEAR(A776),MONTH(A776),1))</f>
        <v/>
      </c>
    </row>
    <row r="777" customFormat="false" ht="15" hidden="false" customHeight="false" outlineLevel="0" collapsed="false">
      <c r="A777" s="31"/>
      <c r="B777" s="29"/>
      <c r="C777" s="29"/>
      <c r="D777" s="29"/>
      <c r="E777" s="39"/>
      <c r="F777" s="29"/>
      <c r="G777" s="38" t="str">
        <f aca="false">IF(A777="","",DATE(YEAR(A777),MONTH(A777),1))</f>
        <v/>
      </c>
    </row>
    <row r="778" customFormat="false" ht="15" hidden="false" customHeight="false" outlineLevel="0" collapsed="false">
      <c r="A778" s="31"/>
      <c r="B778" s="29"/>
      <c r="C778" s="29"/>
      <c r="D778" s="29"/>
      <c r="E778" s="39"/>
      <c r="F778" s="29"/>
      <c r="G778" s="38" t="str">
        <f aca="false">IF(A778="","",DATE(YEAR(A778),MONTH(A778),1))</f>
        <v/>
      </c>
    </row>
    <row r="779" customFormat="false" ht="15" hidden="false" customHeight="false" outlineLevel="0" collapsed="false">
      <c r="A779" s="31"/>
      <c r="B779" s="29"/>
      <c r="C779" s="29"/>
      <c r="D779" s="29"/>
      <c r="E779" s="39"/>
      <c r="F779" s="29"/>
      <c r="G779" s="38" t="str">
        <f aca="false">IF(A779="","",DATE(YEAR(A779),MONTH(A779),1))</f>
        <v/>
      </c>
    </row>
    <row r="780" customFormat="false" ht="15" hidden="false" customHeight="false" outlineLevel="0" collapsed="false">
      <c r="A780" s="31"/>
      <c r="B780" s="29"/>
      <c r="C780" s="29"/>
      <c r="D780" s="29"/>
      <c r="E780" s="39"/>
      <c r="F780" s="29"/>
      <c r="G780" s="38" t="str">
        <f aca="false">IF(A780="","",DATE(YEAR(A780),MONTH(A780),1))</f>
        <v/>
      </c>
    </row>
    <row r="781" customFormat="false" ht="15" hidden="false" customHeight="false" outlineLevel="0" collapsed="false">
      <c r="A781" s="31"/>
      <c r="B781" s="29"/>
      <c r="C781" s="29"/>
      <c r="D781" s="29"/>
      <c r="E781" s="39"/>
      <c r="F781" s="29"/>
      <c r="G781" s="38" t="str">
        <f aca="false">IF(A781="","",DATE(YEAR(A781),MONTH(A781),1))</f>
        <v/>
      </c>
    </row>
    <row r="782" customFormat="false" ht="15" hidden="false" customHeight="false" outlineLevel="0" collapsed="false">
      <c r="A782" s="31"/>
      <c r="B782" s="29"/>
      <c r="C782" s="29"/>
      <c r="D782" s="29"/>
      <c r="E782" s="39"/>
      <c r="F782" s="29"/>
      <c r="G782" s="38" t="str">
        <f aca="false">IF(A782="","",DATE(YEAR(A782),MONTH(A782),1))</f>
        <v/>
      </c>
    </row>
    <row r="783" customFormat="false" ht="15" hidden="false" customHeight="false" outlineLevel="0" collapsed="false">
      <c r="A783" s="31"/>
      <c r="B783" s="29"/>
      <c r="C783" s="29"/>
      <c r="D783" s="29"/>
      <c r="E783" s="39"/>
      <c r="F783" s="29"/>
      <c r="G783" s="38" t="str">
        <f aca="false">IF(A783="","",DATE(YEAR(A783),MONTH(A783),1))</f>
        <v/>
      </c>
    </row>
    <row r="784" customFormat="false" ht="15" hidden="false" customHeight="false" outlineLevel="0" collapsed="false">
      <c r="A784" s="31"/>
      <c r="B784" s="29"/>
      <c r="C784" s="29"/>
      <c r="D784" s="29"/>
      <c r="E784" s="39"/>
      <c r="F784" s="29"/>
      <c r="G784" s="38" t="str">
        <f aca="false">IF(A784="","",DATE(YEAR(A784),MONTH(A784),1))</f>
        <v/>
      </c>
    </row>
    <row r="785" customFormat="false" ht="15" hidden="false" customHeight="false" outlineLevel="0" collapsed="false">
      <c r="A785" s="31"/>
      <c r="B785" s="29"/>
      <c r="C785" s="29"/>
      <c r="D785" s="29"/>
      <c r="E785" s="39"/>
      <c r="F785" s="29"/>
      <c r="G785" s="38" t="str">
        <f aca="false">IF(A785="","",DATE(YEAR(A785),MONTH(A785),1))</f>
        <v/>
      </c>
    </row>
    <row r="786" customFormat="false" ht="15" hidden="false" customHeight="false" outlineLevel="0" collapsed="false">
      <c r="A786" s="31"/>
      <c r="B786" s="29"/>
      <c r="C786" s="29"/>
      <c r="D786" s="29"/>
      <c r="E786" s="39"/>
      <c r="F786" s="29"/>
      <c r="G786" s="38" t="str">
        <f aca="false">IF(A786="","",DATE(YEAR(A786),MONTH(A786),1))</f>
        <v/>
      </c>
    </row>
    <row r="787" customFormat="false" ht="15" hidden="false" customHeight="false" outlineLevel="0" collapsed="false">
      <c r="A787" s="31"/>
      <c r="B787" s="29"/>
      <c r="C787" s="29"/>
      <c r="D787" s="29"/>
      <c r="E787" s="39"/>
      <c r="F787" s="29"/>
      <c r="G787" s="38" t="str">
        <f aca="false">IF(A787="","",DATE(YEAR(A787),MONTH(A787),1))</f>
        <v/>
      </c>
    </row>
    <row r="788" customFormat="false" ht="15" hidden="false" customHeight="false" outlineLevel="0" collapsed="false">
      <c r="A788" s="31"/>
      <c r="B788" s="29"/>
      <c r="C788" s="29"/>
      <c r="D788" s="29"/>
      <c r="E788" s="39"/>
      <c r="F788" s="29"/>
      <c r="G788" s="38" t="str">
        <f aca="false">IF(A788="","",DATE(YEAR(A788),MONTH(A788),1))</f>
        <v/>
      </c>
    </row>
    <row r="789" customFormat="false" ht="15" hidden="false" customHeight="false" outlineLevel="0" collapsed="false">
      <c r="A789" s="31"/>
      <c r="B789" s="29"/>
      <c r="C789" s="29"/>
      <c r="D789" s="29"/>
      <c r="E789" s="39"/>
      <c r="F789" s="29"/>
      <c r="G789" s="38" t="str">
        <f aca="false">IF(A789="","",DATE(YEAR(A789),MONTH(A789),1))</f>
        <v/>
      </c>
    </row>
    <row r="790" customFormat="false" ht="15" hidden="false" customHeight="false" outlineLevel="0" collapsed="false">
      <c r="A790" s="31"/>
      <c r="B790" s="29"/>
      <c r="C790" s="29"/>
      <c r="D790" s="29"/>
      <c r="E790" s="39"/>
      <c r="F790" s="29"/>
      <c r="G790" s="38" t="str">
        <f aca="false">IF(A790="","",DATE(YEAR(A790),MONTH(A790),1))</f>
        <v/>
      </c>
    </row>
    <row r="791" customFormat="false" ht="15" hidden="false" customHeight="false" outlineLevel="0" collapsed="false">
      <c r="A791" s="31"/>
      <c r="B791" s="29"/>
      <c r="C791" s="29"/>
      <c r="D791" s="29"/>
      <c r="E791" s="39"/>
      <c r="F791" s="29"/>
      <c r="G791" s="38" t="str">
        <f aca="false">IF(A791="","",DATE(YEAR(A791),MONTH(A791),1))</f>
        <v/>
      </c>
    </row>
    <row r="792" customFormat="false" ht="15" hidden="false" customHeight="false" outlineLevel="0" collapsed="false">
      <c r="A792" s="31"/>
      <c r="B792" s="29"/>
      <c r="C792" s="29"/>
      <c r="D792" s="29"/>
      <c r="E792" s="39"/>
      <c r="F792" s="29"/>
      <c r="G792" s="38" t="str">
        <f aca="false">IF(A792="","",DATE(YEAR(A792),MONTH(A792),1))</f>
        <v/>
      </c>
    </row>
    <row r="793" customFormat="false" ht="15" hidden="false" customHeight="false" outlineLevel="0" collapsed="false">
      <c r="A793" s="31"/>
      <c r="B793" s="29"/>
      <c r="C793" s="29"/>
      <c r="D793" s="29"/>
      <c r="E793" s="39"/>
      <c r="F793" s="29"/>
      <c r="G793" s="38" t="str">
        <f aca="false">IF(A793="","",DATE(YEAR(A793),MONTH(A793),1))</f>
        <v/>
      </c>
    </row>
    <row r="794" customFormat="false" ht="15" hidden="false" customHeight="false" outlineLevel="0" collapsed="false">
      <c r="A794" s="31"/>
      <c r="B794" s="29"/>
      <c r="C794" s="29"/>
      <c r="D794" s="29"/>
      <c r="E794" s="39"/>
      <c r="F794" s="29"/>
      <c r="G794" s="38" t="str">
        <f aca="false">IF(A794="","",DATE(YEAR(A794),MONTH(A794),1))</f>
        <v/>
      </c>
    </row>
    <row r="795" customFormat="false" ht="15" hidden="false" customHeight="false" outlineLevel="0" collapsed="false">
      <c r="A795" s="31"/>
      <c r="B795" s="29"/>
      <c r="C795" s="29"/>
      <c r="D795" s="29"/>
      <c r="E795" s="39"/>
      <c r="F795" s="29"/>
      <c r="G795" s="38" t="str">
        <f aca="false">IF(A795="","",DATE(YEAR(A795),MONTH(A795),1))</f>
        <v/>
      </c>
    </row>
    <row r="796" customFormat="false" ht="15" hidden="false" customHeight="false" outlineLevel="0" collapsed="false">
      <c r="A796" s="31"/>
      <c r="B796" s="29"/>
      <c r="C796" s="29"/>
      <c r="D796" s="29"/>
      <c r="E796" s="39"/>
      <c r="F796" s="29"/>
      <c r="G796" s="38" t="str">
        <f aca="false">IF(A796="","",DATE(YEAR(A796),MONTH(A796),1))</f>
        <v/>
      </c>
    </row>
    <row r="797" customFormat="false" ht="15" hidden="false" customHeight="false" outlineLevel="0" collapsed="false">
      <c r="A797" s="31"/>
      <c r="B797" s="29"/>
      <c r="C797" s="29"/>
      <c r="D797" s="29"/>
      <c r="E797" s="39"/>
      <c r="F797" s="29"/>
      <c r="G797" s="38" t="str">
        <f aca="false">IF(A797="","",DATE(YEAR(A797),MONTH(A797),1))</f>
        <v/>
      </c>
    </row>
    <row r="798" customFormat="false" ht="15" hidden="false" customHeight="false" outlineLevel="0" collapsed="false">
      <c r="A798" s="31"/>
      <c r="B798" s="29"/>
      <c r="C798" s="29"/>
      <c r="D798" s="29"/>
      <c r="E798" s="39"/>
      <c r="F798" s="29"/>
      <c r="G798" s="38" t="str">
        <f aca="false">IF(A798="","",DATE(YEAR(A798),MONTH(A798),1))</f>
        <v/>
      </c>
    </row>
    <row r="799" customFormat="false" ht="15" hidden="false" customHeight="false" outlineLevel="0" collapsed="false">
      <c r="A799" s="31"/>
      <c r="B799" s="29"/>
      <c r="C799" s="29"/>
      <c r="D799" s="29"/>
      <c r="E799" s="39"/>
      <c r="F799" s="29"/>
      <c r="G799" s="38" t="str">
        <f aca="false">IF(A799="","",DATE(YEAR(A799),MONTH(A799),1))</f>
        <v/>
      </c>
    </row>
    <row r="800" customFormat="false" ht="15" hidden="false" customHeight="false" outlineLevel="0" collapsed="false">
      <c r="A800" s="31"/>
      <c r="B800" s="29"/>
      <c r="C800" s="29"/>
      <c r="D800" s="29"/>
      <c r="E800" s="39"/>
      <c r="F800" s="29"/>
      <c r="G800" s="38" t="str">
        <f aca="false">IF(A800="","",DATE(YEAR(A800),MONTH(A800),1))</f>
        <v/>
      </c>
    </row>
    <row r="801" customFormat="false" ht="15" hidden="false" customHeight="false" outlineLevel="0" collapsed="false">
      <c r="A801" s="31"/>
      <c r="B801" s="29"/>
      <c r="C801" s="29"/>
      <c r="D801" s="29"/>
      <c r="E801" s="39"/>
      <c r="F801" s="29"/>
      <c r="G801" s="38" t="str">
        <f aca="false">IF(A801="","",DATE(YEAR(A801),MONTH(A801),1))</f>
        <v/>
      </c>
    </row>
    <row r="802" customFormat="false" ht="15" hidden="false" customHeight="false" outlineLevel="0" collapsed="false">
      <c r="A802" s="31"/>
      <c r="B802" s="29"/>
      <c r="C802" s="29"/>
      <c r="D802" s="29"/>
      <c r="E802" s="39"/>
      <c r="F802" s="29"/>
      <c r="G802" s="38" t="str">
        <f aca="false">IF(A802="","",DATE(YEAR(A802),MONTH(A802),1))</f>
        <v/>
      </c>
    </row>
    <row r="803" customFormat="false" ht="15" hidden="false" customHeight="false" outlineLevel="0" collapsed="false">
      <c r="A803" s="31"/>
      <c r="B803" s="29"/>
      <c r="C803" s="29"/>
      <c r="D803" s="29"/>
      <c r="E803" s="39"/>
      <c r="F803" s="29"/>
      <c r="G803" s="38" t="str">
        <f aca="false">IF(A803="","",DATE(YEAR(A803),MONTH(A803),1))</f>
        <v/>
      </c>
    </row>
    <row r="804" customFormat="false" ht="15" hidden="false" customHeight="false" outlineLevel="0" collapsed="false">
      <c r="A804" s="31"/>
      <c r="B804" s="29"/>
      <c r="C804" s="29"/>
      <c r="D804" s="29"/>
      <c r="E804" s="39"/>
      <c r="F804" s="29"/>
      <c r="G804" s="38" t="str">
        <f aca="false">IF(A804="","",DATE(YEAR(A804),MONTH(A804),1))</f>
        <v/>
      </c>
    </row>
    <row r="805" customFormat="false" ht="15" hidden="false" customHeight="false" outlineLevel="0" collapsed="false">
      <c r="A805" s="31"/>
      <c r="B805" s="29"/>
      <c r="C805" s="29"/>
      <c r="D805" s="29"/>
      <c r="E805" s="39"/>
      <c r="F805" s="29"/>
      <c r="G805" s="38" t="str">
        <f aca="false">IF(A805="","",DATE(YEAR(A805),MONTH(A805),1))</f>
        <v/>
      </c>
    </row>
    <row r="806" customFormat="false" ht="15" hidden="false" customHeight="false" outlineLevel="0" collapsed="false">
      <c r="A806" s="31"/>
      <c r="B806" s="29"/>
      <c r="C806" s="29"/>
      <c r="D806" s="29"/>
      <c r="E806" s="39"/>
      <c r="F806" s="29"/>
      <c r="G806" s="38" t="str">
        <f aca="false">IF(A806="","",DATE(YEAR(A806),MONTH(A806),1))</f>
        <v/>
      </c>
    </row>
    <row r="807" customFormat="false" ht="15" hidden="false" customHeight="false" outlineLevel="0" collapsed="false">
      <c r="A807" s="31"/>
      <c r="B807" s="29"/>
      <c r="C807" s="29"/>
      <c r="D807" s="29"/>
      <c r="E807" s="39"/>
      <c r="F807" s="29"/>
      <c r="G807" s="38" t="str">
        <f aca="false">IF(A807="","",DATE(YEAR(A807),MONTH(A807),1))</f>
        <v/>
      </c>
    </row>
    <row r="808" customFormat="false" ht="15" hidden="false" customHeight="false" outlineLevel="0" collapsed="false">
      <c r="A808" s="31"/>
      <c r="B808" s="29"/>
      <c r="C808" s="29"/>
      <c r="D808" s="29"/>
      <c r="E808" s="39"/>
      <c r="F808" s="29"/>
      <c r="G808" s="38" t="str">
        <f aca="false">IF(A808="","",DATE(YEAR(A808),MONTH(A808),1))</f>
        <v/>
      </c>
    </row>
    <row r="809" customFormat="false" ht="15" hidden="false" customHeight="false" outlineLevel="0" collapsed="false">
      <c r="A809" s="31"/>
      <c r="B809" s="29"/>
      <c r="C809" s="29"/>
      <c r="D809" s="29"/>
      <c r="E809" s="39"/>
      <c r="F809" s="29"/>
      <c r="G809" s="38" t="str">
        <f aca="false">IF(A809="","",DATE(YEAR(A809),MONTH(A809),1))</f>
        <v/>
      </c>
    </row>
    <row r="810" customFormat="false" ht="15" hidden="false" customHeight="false" outlineLevel="0" collapsed="false">
      <c r="A810" s="31"/>
      <c r="B810" s="29"/>
      <c r="C810" s="29"/>
      <c r="D810" s="29"/>
      <c r="E810" s="39"/>
      <c r="F810" s="29"/>
      <c r="G810" s="38" t="str">
        <f aca="false">IF(A810="","",DATE(YEAR(A810),MONTH(A810),1))</f>
        <v/>
      </c>
    </row>
    <row r="811" customFormat="false" ht="15" hidden="false" customHeight="false" outlineLevel="0" collapsed="false">
      <c r="A811" s="31"/>
      <c r="B811" s="29"/>
      <c r="C811" s="29"/>
      <c r="D811" s="29"/>
      <c r="E811" s="39"/>
      <c r="F811" s="29"/>
      <c r="G811" s="38" t="str">
        <f aca="false">IF(A811="","",DATE(YEAR(A811),MONTH(A811),1))</f>
        <v/>
      </c>
    </row>
    <row r="812" customFormat="false" ht="15" hidden="false" customHeight="false" outlineLevel="0" collapsed="false">
      <c r="A812" s="31"/>
      <c r="B812" s="29"/>
      <c r="C812" s="29"/>
      <c r="D812" s="29"/>
      <c r="E812" s="39"/>
      <c r="F812" s="29"/>
      <c r="G812" s="38" t="str">
        <f aca="false">IF(A812="","",DATE(YEAR(A812),MONTH(A812),1))</f>
        <v/>
      </c>
    </row>
    <row r="813" customFormat="false" ht="15" hidden="false" customHeight="false" outlineLevel="0" collapsed="false">
      <c r="A813" s="31"/>
      <c r="B813" s="29"/>
      <c r="C813" s="29"/>
      <c r="D813" s="29"/>
      <c r="E813" s="39"/>
      <c r="F813" s="29"/>
      <c r="G813" s="38" t="str">
        <f aca="false">IF(A813="","",DATE(YEAR(A813),MONTH(A813),1))</f>
        <v/>
      </c>
    </row>
    <row r="814" customFormat="false" ht="15" hidden="false" customHeight="false" outlineLevel="0" collapsed="false">
      <c r="A814" s="31"/>
      <c r="B814" s="29"/>
      <c r="C814" s="29"/>
      <c r="D814" s="29"/>
      <c r="E814" s="39"/>
      <c r="F814" s="29"/>
      <c r="G814" s="38" t="str">
        <f aca="false">IF(A814="","",DATE(YEAR(A814),MONTH(A814),1))</f>
        <v/>
      </c>
    </row>
    <row r="815" customFormat="false" ht="15" hidden="false" customHeight="false" outlineLevel="0" collapsed="false">
      <c r="A815" s="31"/>
      <c r="B815" s="29"/>
      <c r="C815" s="29"/>
      <c r="D815" s="29"/>
      <c r="E815" s="39"/>
      <c r="F815" s="29"/>
      <c r="G815" s="38" t="str">
        <f aca="false">IF(A815="","",DATE(YEAR(A815),MONTH(A815),1))</f>
        <v/>
      </c>
    </row>
    <row r="816" customFormat="false" ht="15" hidden="false" customHeight="false" outlineLevel="0" collapsed="false">
      <c r="A816" s="31"/>
      <c r="B816" s="29"/>
      <c r="C816" s="29"/>
      <c r="D816" s="29"/>
      <c r="E816" s="39"/>
      <c r="F816" s="29"/>
      <c r="G816" s="38" t="str">
        <f aca="false">IF(A816="","",DATE(YEAR(A816),MONTH(A816),1))</f>
        <v/>
      </c>
    </row>
    <row r="817" customFormat="false" ht="15" hidden="false" customHeight="false" outlineLevel="0" collapsed="false">
      <c r="A817" s="31"/>
      <c r="B817" s="29"/>
      <c r="C817" s="29"/>
      <c r="D817" s="29"/>
      <c r="E817" s="39"/>
      <c r="F817" s="29"/>
      <c r="G817" s="38" t="str">
        <f aca="false">IF(A817="","",DATE(YEAR(A817),MONTH(A817),1))</f>
        <v/>
      </c>
    </row>
    <row r="818" customFormat="false" ht="15" hidden="false" customHeight="false" outlineLevel="0" collapsed="false">
      <c r="A818" s="31"/>
      <c r="B818" s="29"/>
      <c r="C818" s="29"/>
      <c r="D818" s="29"/>
      <c r="E818" s="39"/>
      <c r="F818" s="29"/>
      <c r="G818" s="38" t="str">
        <f aca="false">IF(A818="","",DATE(YEAR(A818),MONTH(A818),1))</f>
        <v/>
      </c>
    </row>
    <row r="819" customFormat="false" ht="15" hidden="false" customHeight="false" outlineLevel="0" collapsed="false">
      <c r="A819" s="31"/>
      <c r="B819" s="29"/>
      <c r="C819" s="29"/>
      <c r="D819" s="29"/>
      <c r="E819" s="39"/>
      <c r="F819" s="29"/>
      <c r="G819" s="38" t="str">
        <f aca="false">IF(A819="","",DATE(YEAR(A819),MONTH(A819),1))</f>
        <v/>
      </c>
    </row>
    <row r="820" customFormat="false" ht="15" hidden="false" customHeight="false" outlineLevel="0" collapsed="false">
      <c r="A820" s="31"/>
      <c r="B820" s="29"/>
      <c r="C820" s="29"/>
      <c r="D820" s="29"/>
      <c r="E820" s="39"/>
      <c r="F820" s="29"/>
      <c r="G820" s="38" t="str">
        <f aca="false">IF(A820="","",DATE(YEAR(A820),MONTH(A820),1))</f>
        <v/>
      </c>
    </row>
    <row r="821" customFormat="false" ht="15" hidden="false" customHeight="false" outlineLevel="0" collapsed="false">
      <c r="A821" s="31"/>
      <c r="B821" s="29"/>
      <c r="C821" s="29"/>
      <c r="D821" s="29"/>
      <c r="E821" s="39"/>
      <c r="F821" s="29"/>
      <c r="G821" s="38" t="str">
        <f aca="false">IF(A821="","",DATE(YEAR(A821),MONTH(A821),1))</f>
        <v/>
      </c>
    </row>
    <row r="822" customFormat="false" ht="15" hidden="false" customHeight="false" outlineLevel="0" collapsed="false">
      <c r="A822" s="31"/>
      <c r="B822" s="29"/>
      <c r="C822" s="29"/>
      <c r="D822" s="29"/>
      <c r="E822" s="39"/>
      <c r="F822" s="29"/>
      <c r="G822" s="38" t="str">
        <f aca="false">IF(A822="","",DATE(YEAR(A822),MONTH(A822),1))</f>
        <v/>
      </c>
    </row>
    <row r="823" customFormat="false" ht="15" hidden="false" customHeight="false" outlineLevel="0" collapsed="false">
      <c r="A823" s="31"/>
      <c r="B823" s="29"/>
      <c r="C823" s="29"/>
      <c r="D823" s="29"/>
      <c r="E823" s="39"/>
      <c r="F823" s="29"/>
      <c r="G823" s="38" t="str">
        <f aca="false">IF(A823="","",DATE(YEAR(A823),MONTH(A823),1))</f>
        <v/>
      </c>
    </row>
    <row r="824" customFormat="false" ht="15" hidden="false" customHeight="false" outlineLevel="0" collapsed="false">
      <c r="A824" s="31"/>
      <c r="B824" s="29"/>
      <c r="C824" s="29"/>
      <c r="D824" s="29"/>
      <c r="E824" s="39"/>
      <c r="F824" s="29"/>
      <c r="G824" s="38" t="str">
        <f aca="false">IF(A824="","",DATE(YEAR(A824),MONTH(A824),1))</f>
        <v/>
      </c>
    </row>
    <row r="825" customFormat="false" ht="15" hidden="false" customHeight="false" outlineLevel="0" collapsed="false">
      <c r="A825" s="31"/>
      <c r="B825" s="29"/>
      <c r="C825" s="29"/>
      <c r="D825" s="29"/>
      <c r="E825" s="39"/>
      <c r="F825" s="29"/>
      <c r="G825" s="38" t="str">
        <f aca="false">IF(A825="","",DATE(YEAR(A825),MONTH(A825),1))</f>
        <v/>
      </c>
    </row>
    <row r="826" customFormat="false" ht="15" hidden="false" customHeight="false" outlineLevel="0" collapsed="false">
      <c r="A826" s="31"/>
      <c r="B826" s="29"/>
      <c r="C826" s="29"/>
      <c r="D826" s="29"/>
      <c r="E826" s="39"/>
      <c r="F826" s="29"/>
      <c r="G826" s="38" t="str">
        <f aca="false">IF(A826="","",DATE(YEAR(A826),MONTH(A826),1))</f>
        <v/>
      </c>
    </row>
    <row r="827" customFormat="false" ht="15" hidden="false" customHeight="false" outlineLevel="0" collapsed="false">
      <c r="A827" s="31"/>
      <c r="B827" s="29"/>
      <c r="C827" s="29"/>
      <c r="D827" s="29"/>
      <c r="E827" s="39"/>
      <c r="F827" s="29"/>
      <c r="G827" s="38" t="str">
        <f aca="false">IF(A827="","",DATE(YEAR(A827),MONTH(A827),1))</f>
        <v/>
      </c>
    </row>
    <row r="828" customFormat="false" ht="15" hidden="false" customHeight="false" outlineLevel="0" collapsed="false">
      <c r="A828" s="31"/>
      <c r="B828" s="29"/>
      <c r="C828" s="29"/>
      <c r="D828" s="29"/>
      <c r="E828" s="39"/>
      <c r="F828" s="29"/>
      <c r="G828" s="38" t="str">
        <f aca="false">IF(A828="","",DATE(YEAR(A828),MONTH(A828),1))</f>
        <v/>
      </c>
    </row>
    <row r="829" customFormat="false" ht="15" hidden="false" customHeight="false" outlineLevel="0" collapsed="false">
      <c r="A829" s="31"/>
      <c r="B829" s="29"/>
      <c r="C829" s="29"/>
      <c r="D829" s="29"/>
      <c r="E829" s="39"/>
      <c r="F829" s="29"/>
      <c r="G829" s="38" t="str">
        <f aca="false">IF(A829="","",DATE(YEAR(A829),MONTH(A829),1))</f>
        <v/>
      </c>
    </row>
    <row r="830" customFormat="false" ht="15" hidden="false" customHeight="false" outlineLevel="0" collapsed="false">
      <c r="A830" s="31"/>
      <c r="B830" s="29"/>
      <c r="C830" s="29"/>
      <c r="D830" s="29"/>
      <c r="E830" s="39"/>
      <c r="F830" s="29"/>
      <c r="G830" s="38" t="str">
        <f aca="false">IF(A830="","",DATE(YEAR(A830),MONTH(A830),1))</f>
        <v/>
      </c>
    </row>
    <row r="831" customFormat="false" ht="15" hidden="false" customHeight="false" outlineLevel="0" collapsed="false">
      <c r="A831" s="31"/>
      <c r="B831" s="29"/>
      <c r="C831" s="29"/>
      <c r="D831" s="29"/>
      <c r="E831" s="39"/>
      <c r="F831" s="29"/>
      <c r="G831" s="38" t="str">
        <f aca="false">IF(A831="","",DATE(YEAR(A831),MONTH(A831),1))</f>
        <v/>
      </c>
    </row>
    <row r="832" customFormat="false" ht="15" hidden="false" customHeight="false" outlineLevel="0" collapsed="false">
      <c r="A832" s="31"/>
      <c r="B832" s="29"/>
      <c r="C832" s="29"/>
      <c r="D832" s="29"/>
      <c r="E832" s="39"/>
      <c r="F832" s="29"/>
      <c r="G832" s="38" t="str">
        <f aca="false">IF(A832="","",DATE(YEAR(A832),MONTH(A832),1))</f>
        <v/>
      </c>
    </row>
    <row r="833" customFormat="false" ht="15" hidden="false" customHeight="false" outlineLevel="0" collapsed="false">
      <c r="A833" s="31"/>
      <c r="B833" s="29"/>
      <c r="C833" s="29"/>
      <c r="D833" s="29"/>
      <c r="E833" s="39"/>
      <c r="F833" s="29"/>
      <c r="G833" s="38" t="str">
        <f aca="false">IF(A833="","",DATE(YEAR(A833),MONTH(A833),1))</f>
        <v/>
      </c>
    </row>
    <row r="834" customFormat="false" ht="15" hidden="false" customHeight="false" outlineLevel="0" collapsed="false">
      <c r="A834" s="31"/>
      <c r="B834" s="29"/>
      <c r="C834" s="29"/>
      <c r="D834" s="29"/>
      <c r="E834" s="39"/>
      <c r="F834" s="29"/>
      <c r="G834" s="38" t="str">
        <f aca="false">IF(A834="","",DATE(YEAR(A834),MONTH(A834),1))</f>
        <v/>
      </c>
    </row>
    <row r="835" customFormat="false" ht="15" hidden="false" customHeight="false" outlineLevel="0" collapsed="false">
      <c r="A835" s="31"/>
      <c r="B835" s="29"/>
      <c r="C835" s="29"/>
      <c r="D835" s="29"/>
      <c r="E835" s="39"/>
      <c r="F835" s="29"/>
      <c r="G835" s="38" t="str">
        <f aca="false">IF(A835="","",DATE(YEAR(A835),MONTH(A835),1))</f>
        <v/>
      </c>
    </row>
    <row r="836" customFormat="false" ht="15" hidden="false" customHeight="false" outlineLevel="0" collapsed="false">
      <c r="A836" s="31"/>
      <c r="B836" s="29"/>
      <c r="C836" s="29"/>
      <c r="D836" s="29"/>
      <c r="E836" s="39"/>
      <c r="F836" s="29"/>
      <c r="G836" s="38" t="str">
        <f aca="false">IF(A836="","",DATE(YEAR(A836),MONTH(A836),1))</f>
        <v/>
      </c>
    </row>
    <row r="837" customFormat="false" ht="15" hidden="false" customHeight="false" outlineLevel="0" collapsed="false">
      <c r="A837" s="31"/>
      <c r="B837" s="29"/>
      <c r="C837" s="29"/>
      <c r="D837" s="29"/>
      <c r="E837" s="39"/>
      <c r="F837" s="29"/>
      <c r="G837" s="38" t="str">
        <f aca="false">IF(A837="","",DATE(YEAR(A837),MONTH(A837),1))</f>
        <v/>
      </c>
    </row>
    <row r="838" customFormat="false" ht="15" hidden="false" customHeight="false" outlineLevel="0" collapsed="false">
      <c r="A838" s="31"/>
      <c r="B838" s="29"/>
      <c r="C838" s="29"/>
      <c r="D838" s="29"/>
      <c r="E838" s="39"/>
      <c r="F838" s="29"/>
      <c r="G838" s="38" t="str">
        <f aca="false">IF(A838="","",DATE(YEAR(A838),MONTH(A838),1))</f>
        <v/>
      </c>
    </row>
    <row r="839" customFormat="false" ht="15" hidden="false" customHeight="false" outlineLevel="0" collapsed="false">
      <c r="A839" s="31"/>
      <c r="B839" s="29"/>
      <c r="C839" s="29"/>
      <c r="D839" s="29"/>
      <c r="E839" s="39"/>
      <c r="F839" s="29"/>
      <c r="G839" s="38" t="str">
        <f aca="false">IF(A839="","",DATE(YEAR(A839),MONTH(A839),1))</f>
        <v/>
      </c>
    </row>
    <row r="840" customFormat="false" ht="15" hidden="false" customHeight="false" outlineLevel="0" collapsed="false">
      <c r="A840" s="31"/>
      <c r="B840" s="29"/>
      <c r="C840" s="29"/>
      <c r="D840" s="29"/>
      <c r="E840" s="39"/>
      <c r="F840" s="29"/>
      <c r="G840" s="38" t="str">
        <f aca="false">IF(A840="","",DATE(YEAR(A840),MONTH(A840),1))</f>
        <v/>
      </c>
    </row>
    <row r="841" customFormat="false" ht="15" hidden="false" customHeight="false" outlineLevel="0" collapsed="false">
      <c r="A841" s="31"/>
      <c r="B841" s="29"/>
      <c r="C841" s="29"/>
      <c r="D841" s="29"/>
      <c r="E841" s="39"/>
      <c r="F841" s="29"/>
      <c r="G841" s="38" t="str">
        <f aca="false">IF(A841="","",DATE(YEAR(A841),MONTH(A841),1))</f>
        <v/>
      </c>
    </row>
    <row r="842" customFormat="false" ht="15" hidden="false" customHeight="false" outlineLevel="0" collapsed="false">
      <c r="A842" s="31"/>
      <c r="B842" s="29"/>
      <c r="C842" s="29"/>
      <c r="D842" s="29"/>
      <c r="E842" s="39"/>
      <c r="F842" s="29"/>
      <c r="G842" s="38" t="str">
        <f aca="false">IF(A842="","",DATE(YEAR(A842),MONTH(A842),1))</f>
        <v/>
      </c>
    </row>
    <row r="843" customFormat="false" ht="15" hidden="false" customHeight="false" outlineLevel="0" collapsed="false">
      <c r="A843" s="31"/>
      <c r="B843" s="29"/>
      <c r="C843" s="29"/>
      <c r="D843" s="29"/>
      <c r="E843" s="39"/>
      <c r="F843" s="29"/>
      <c r="G843" s="38" t="str">
        <f aca="false">IF(A843="","",DATE(YEAR(A843),MONTH(A843),1))</f>
        <v/>
      </c>
    </row>
    <row r="844" customFormat="false" ht="15" hidden="false" customHeight="false" outlineLevel="0" collapsed="false">
      <c r="A844" s="31"/>
      <c r="B844" s="29"/>
      <c r="C844" s="29"/>
      <c r="D844" s="29"/>
      <c r="E844" s="39"/>
      <c r="F844" s="29"/>
      <c r="G844" s="38" t="str">
        <f aca="false">IF(A844="","",DATE(YEAR(A844),MONTH(A844),1))</f>
        <v/>
      </c>
    </row>
    <row r="845" customFormat="false" ht="15" hidden="false" customHeight="false" outlineLevel="0" collapsed="false">
      <c r="A845" s="31"/>
      <c r="B845" s="29"/>
      <c r="C845" s="29"/>
      <c r="D845" s="29"/>
      <c r="E845" s="39"/>
      <c r="F845" s="29"/>
      <c r="G845" s="38" t="str">
        <f aca="false">IF(A845="","",DATE(YEAR(A845),MONTH(A845),1))</f>
        <v/>
      </c>
    </row>
    <row r="846" customFormat="false" ht="15" hidden="false" customHeight="false" outlineLevel="0" collapsed="false">
      <c r="A846" s="31"/>
      <c r="B846" s="29"/>
      <c r="C846" s="29"/>
      <c r="D846" s="29"/>
      <c r="E846" s="39"/>
      <c r="F846" s="29"/>
      <c r="G846" s="38" t="str">
        <f aca="false">IF(A846="","",DATE(YEAR(A846),MONTH(A846),1))</f>
        <v/>
      </c>
    </row>
    <row r="847" customFormat="false" ht="15" hidden="false" customHeight="false" outlineLevel="0" collapsed="false">
      <c r="A847" s="31"/>
      <c r="B847" s="29"/>
      <c r="C847" s="29"/>
      <c r="D847" s="29"/>
      <c r="E847" s="39"/>
      <c r="F847" s="29"/>
      <c r="G847" s="38" t="str">
        <f aca="false">IF(A847="","",DATE(YEAR(A847),MONTH(A847),1))</f>
        <v/>
      </c>
    </row>
    <row r="848" customFormat="false" ht="15" hidden="false" customHeight="false" outlineLevel="0" collapsed="false">
      <c r="A848" s="31"/>
      <c r="B848" s="29"/>
      <c r="C848" s="29"/>
      <c r="D848" s="29"/>
      <c r="E848" s="39"/>
      <c r="F848" s="29"/>
      <c r="G848" s="38" t="str">
        <f aca="false">IF(A848="","",DATE(YEAR(A848),MONTH(A848),1))</f>
        <v/>
      </c>
    </row>
    <row r="849" customFormat="false" ht="15" hidden="false" customHeight="false" outlineLevel="0" collapsed="false">
      <c r="A849" s="31"/>
      <c r="B849" s="29"/>
      <c r="C849" s="29"/>
      <c r="D849" s="29"/>
      <c r="E849" s="39"/>
      <c r="F849" s="29"/>
      <c r="G849" s="38" t="str">
        <f aca="false">IF(A849="","",DATE(YEAR(A849),MONTH(A849),1))</f>
        <v/>
      </c>
    </row>
    <row r="850" customFormat="false" ht="15" hidden="false" customHeight="false" outlineLevel="0" collapsed="false">
      <c r="A850" s="31"/>
      <c r="B850" s="29"/>
      <c r="C850" s="29"/>
      <c r="D850" s="29"/>
      <c r="E850" s="39"/>
      <c r="F850" s="29"/>
      <c r="G850" s="38" t="str">
        <f aca="false">IF(A850="","",DATE(YEAR(A850),MONTH(A850),1))</f>
        <v/>
      </c>
    </row>
    <row r="851" customFormat="false" ht="15" hidden="false" customHeight="false" outlineLevel="0" collapsed="false">
      <c r="A851" s="31"/>
      <c r="B851" s="29"/>
      <c r="C851" s="29"/>
      <c r="D851" s="29"/>
      <c r="E851" s="39"/>
      <c r="F851" s="29"/>
      <c r="G851" s="38" t="str">
        <f aca="false">IF(A851="","",DATE(YEAR(A851),MONTH(A851),1))</f>
        <v/>
      </c>
    </row>
    <row r="852" customFormat="false" ht="15" hidden="false" customHeight="false" outlineLevel="0" collapsed="false">
      <c r="A852" s="31"/>
      <c r="B852" s="29"/>
      <c r="C852" s="29"/>
      <c r="D852" s="29"/>
      <c r="E852" s="39"/>
      <c r="F852" s="29"/>
      <c r="G852" s="38" t="str">
        <f aca="false">IF(A852="","",DATE(YEAR(A852),MONTH(A852),1))</f>
        <v/>
      </c>
    </row>
    <row r="853" customFormat="false" ht="15" hidden="false" customHeight="false" outlineLevel="0" collapsed="false">
      <c r="A853" s="31"/>
      <c r="B853" s="29"/>
      <c r="C853" s="29"/>
      <c r="D853" s="29"/>
      <c r="E853" s="39"/>
      <c r="F853" s="29"/>
      <c r="G853" s="38" t="str">
        <f aca="false">IF(A853="","",DATE(YEAR(A853),MONTH(A853),1))</f>
        <v/>
      </c>
    </row>
    <row r="854" customFormat="false" ht="15" hidden="false" customHeight="false" outlineLevel="0" collapsed="false">
      <c r="A854" s="31"/>
      <c r="B854" s="29"/>
      <c r="C854" s="29"/>
      <c r="D854" s="29"/>
      <c r="E854" s="39"/>
      <c r="F854" s="29"/>
      <c r="G854" s="38" t="str">
        <f aca="false">IF(A854="","",DATE(YEAR(A854),MONTH(A854),1))</f>
        <v/>
      </c>
    </row>
    <row r="855" customFormat="false" ht="15" hidden="false" customHeight="false" outlineLevel="0" collapsed="false">
      <c r="A855" s="31"/>
      <c r="B855" s="29"/>
      <c r="C855" s="29"/>
      <c r="D855" s="29"/>
      <c r="E855" s="39"/>
      <c r="F855" s="29"/>
      <c r="G855" s="38" t="str">
        <f aca="false">IF(A855="","",DATE(YEAR(A855),MONTH(A855),1))</f>
        <v/>
      </c>
    </row>
    <row r="856" customFormat="false" ht="15" hidden="false" customHeight="false" outlineLevel="0" collapsed="false">
      <c r="A856" s="31"/>
      <c r="B856" s="29"/>
      <c r="C856" s="29"/>
      <c r="D856" s="29"/>
      <c r="E856" s="39"/>
      <c r="F856" s="29"/>
      <c r="G856" s="38" t="str">
        <f aca="false">IF(A856="","",DATE(YEAR(A856),MONTH(A856),1))</f>
        <v/>
      </c>
    </row>
    <row r="857" customFormat="false" ht="15" hidden="false" customHeight="false" outlineLevel="0" collapsed="false">
      <c r="A857" s="31"/>
      <c r="B857" s="29"/>
      <c r="C857" s="29"/>
      <c r="D857" s="29"/>
      <c r="E857" s="39"/>
      <c r="F857" s="29"/>
      <c r="G857" s="38" t="str">
        <f aca="false">IF(A857="","",DATE(YEAR(A857),MONTH(A857),1))</f>
        <v/>
      </c>
    </row>
    <row r="858" customFormat="false" ht="15" hidden="false" customHeight="false" outlineLevel="0" collapsed="false">
      <c r="A858" s="31"/>
      <c r="B858" s="29"/>
      <c r="C858" s="29"/>
      <c r="D858" s="29"/>
      <c r="E858" s="39"/>
      <c r="F858" s="29"/>
      <c r="G858" s="38" t="str">
        <f aca="false">IF(A858="","",DATE(YEAR(A858),MONTH(A858),1))</f>
        <v/>
      </c>
    </row>
    <row r="859" customFormat="false" ht="15" hidden="false" customHeight="false" outlineLevel="0" collapsed="false">
      <c r="A859" s="31"/>
      <c r="B859" s="29"/>
      <c r="C859" s="29"/>
      <c r="D859" s="29"/>
      <c r="E859" s="39"/>
      <c r="F859" s="29"/>
      <c r="G859" s="38" t="str">
        <f aca="false">IF(A859="","",DATE(YEAR(A859),MONTH(A859),1))</f>
        <v/>
      </c>
    </row>
    <row r="860" customFormat="false" ht="15" hidden="false" customHeight="false" outlineLevel="0" collapsed="false">
      <c r="A860" s="31"/>
      <c r="B860" s="29"/>
      <c r="C860" s="29"/>
      <c r="D860" s="29"/>
      <c r="E860" s="39"/>
      <c r="F860" s="29"/>
      <c r="G860" s="38" t="str">
        <f aca="false">IF(A860="","",DATE(YEAR(A860),MONTH(A860),1))</f>
        <v/>
      </c>
    </row>
    <row r="861" customFormat="false" ht="15" hidden="false" customHeight="false" outlineLevel="0" collapsed="false">
      <c r="A861" s="31"/>
      <c r="B861" s="29"/>
      <c r="C861" s="29"/>
      <c r="D861" s="29"/>
      <c r="E861" s="39"/>
      <c r="F861" s="29"/>
      <c r="G861" s="38" t="str">
        <f aca="false">IF(A861="","",DATE(YEAR(A861),MONTH(A861),1))</f>
        <v/>
      </c>
    </row>
    <row r="862" customFormat="false" ht="15" hidden="false" customHeight="false" outlineLevel="0" collapsed="false">
      <c r="A862" s="31"/>
      <c r="B862" s="29"/>
      <c r="C862" s="29"/>
      <c r="D862" s="29"/>
      <c r="E862" s="39"/>
      <c r="F862" s="29"/>
      <c r="G862" s="38" t="str">
        <f aca="false">IF(A862="","",DATE(YEAR(A862),MONTH(A862),1))</f>
        <v/>
      </c>
    </row>
    <row r="863" customFormat="false" ht="15" hidden="false" customHeight="false" outlineLevel="0" collapsed="false">
      <c r="A863" s="31"/>
      <c r="B863" s="29"/>
      <c r="C863" s="29"/>
      <c r="D863" s="29"/>
      <c r="E863" s="39"/>
      <c r="F863" s="29"/>
      <c r="G863" s="38" t="str">
        <f aca="false">IF(A863="","",DATE(YEAR(A863),MONTH(A863),1))</f>
        <v/>
      </c>
    </row>
    <row r="864" customFormat="false" ht="15" hidden="false" customHeight="false" outlineLevel="0" collapsed="false">
      <c r="A864" s="31"/>
      <c r="B864" s="29"/>
      <c r="C864" s="29"/>
      <c r="D864" s="29"/>
      <c r="E864" s="39"/>
      <c r="F864" s="29"/>
      <c r="G864" s="38" t="str">
        <f aca="false">IF(A864="","",DATE(YEAR(A864),MONTH(A864),1))</f>
        <v/>
      </c>
    </row>
    <row r="865" customFormat="false" ht="15" hidden="false" customHeight="false" outlineLevel="0" collapsed="false">
      <c r="A865" s="31"/>
      <c r="B865" s="29"/>
      <c r="C865" s="29"/>
      <c r="D865" s="29"/>
      <c r="E865" s="39"/>
      <c r="F865" s="29"/>
      <c r="G865" s="38" t="str">
        <f aca="false">IF(A865="","",DATE(YEAR(A865),MONTH(A865),1))</f>
        <v/>
      </c>
    </row>
    <row r="866" customFormat="false" ht="15" hidden="false" customHeight="false" outlineLevel="0" collapsed="false">
      <c r="A866" s="31"/>
      <c r="B866" s="29"/>
      <c r="C866" s="29"/>
      <c r="D866" s="29"/>
      <c r="E866" s="39"/>
      <c r="F866" s="29"/>
      <c r="G866" s="38" t="str">
        <f aca="false">IF(A866="","",DATE(YEAR(A866),MONTH(A866),1))</f>
        <v/>
      </c>
    </row>
    <row r="867" customFormat="false" ht="15" hidden="false" customHeight="false" outlineLevel="0" collapsed="false">
      <c r="A867" s="31"/>
      <c r="B867" s="29"/>
      <c r="C867" s="29"/>
      <c r="D867" s="29"/>
      <c r="E867" s="39"/>
      <c r="F867" s="29"/>
      <c r="G867" s="38" t="str">
        <f aca="false">IF(A867="","",DATE(YEAR(A867),MONTH(A867),1))</f>
        <v/>
      </c>
    </row>
    <row r="868" customFormat="false" ht="15" hidden="false" customHeight="false" outlineLevel="0" collapsed="false">
      <c r="A868" s="31"/>
      <c r="B868" s="29"/>
      <c r="C868" s="29"/>
      <c r="D868" s="29"/>
      <c r="E868" s="39"/>
      <c r="F868" s="29"/>
      <c r="G868" s="38" t="str">
        <f aca="false">IF(A868="","",DATE(YEAR(A868),MONTH(A868),1))</f>
        <v/>
      </c>
    </row>
    <row r="869" customFormat="false" ht="15" hidden="false" customHeight="false" outlineLevel="0" collapsed="false">
      <c r="A869" s="31"/>
      <c r="B869" s="29"/>
      <c r="C869" s="29"/>
      <c r="D869" s="29"/>
      <c r="E869" s="39"/>
      <c r="F869" s="29"/>
      <c r="G869" s="38" t="str">
        <f aca="false">IF(A869="","",DATE(YEAR(A869),MONTH(A869),1))</f>
        <v/>
      </c>
    </row>
    <row r="870" customFormat="false" ht="15" hidden="false" customHeight="false" outlineLevel="0" collapsed="false">
      <c r="A870" s="31"/>
      <c r="B870" s="29"/>
      <c r="C870" s="29"/>
      <c r="D870" s="29"/>
      <c r="E870" s="39"/>
      <c r="F870" s="29"/>
      <c r="G870" s="38" t="str">
        <f aca="false">IF(A870="","",DATE(YEAR(A870),MONTH(A870),1))</f>
        <v/>
      </c>
    </row>
    <row r="871" customFormat="false" ht="15" hidden="false" customHeight="false" outlineLevel="0" collapsed="false">
      <c r="A871" s="31"/>
      <c r="B871" s="29"/>
      <c r="C871" s="29"/>
      <c r="D871" s="29"/>
      <c r="E871" s="39"/>
      <c r="F871" s="29"/>
      <c r="G871" s="38" t="str">
        <f aca="false">IF(A871="","",DATE(YEAR(A871),MONTH(A871),1))</f>
        <v/>
      </c>
    </row>
    <row r="872" customFormat="false" ht="15" hidden="false" customHeight="false" outlineLevel="0" collapsed="false">
      <c r="A872" s="31"/>
      <c r="B872" s="29"/>
      <c r="C872" s="29"/>
      <c r="D872" s="29"/>
      <c r="E872" s="39"/>
      <c r="F872" s="29"/>
      <c r="G872" s="38" t="str">
        <f aca="false">IF(A872="","",DATE(YEAR(A872),MONTH(A872),1))</f>
        <v/>
      </c>
    </row>
    <row r="873" customFormat="false" ht="15" hidden="false" customHeight="false" outlineLevel="0" collapsed="false">
      <c r="A873" s="31"/>
      <c r="B873" s="29"/>
      <c r="C873" s="29"/>
      <c r="D873" s="29"/>
      <c r="E873" s="39"/>
      <c r="F873" s="29"/>
      <c r="G873" s="38" t="str">
        <f aca="false">IF(A873="","",DATE(YEAR(A873),MONTH(A873),1))</f>
        <v/>
      </c>
    </row>
    <row r="874" customFormat="false" ht="15" hidden="false" customHeight="false" outlineLevel="0" collapsed="false">
      <c r="A874" s="31"/>
      <c r="B874" s="29"/>
      <c r="C874" s="29"/>
      <c r="D874" s="29"/>
      <c r="E874" s="39"/>
      <c r="F874" s="29"/>
      <c r="G874" s="38" t="str">
        <f aca="false">IF(A874="","",DATE(YEAR(A874),MONTH(A874),1))</f>
        <v/>
      </c>
    </row>
    <row r="875" customFormat="false" ht="15" hidden="false" customHeight="false" outlineLevel="0" collapsed="false">
      <c r="A875" s="31"/>
      <c r="B875" s="29"/>
      <c r="C875" s="29"/>
      <c r="D875" s="29"/>
      <c r="E875" s="39"/>
      <c r="F875" s="29"/>
      <c r="G875" s="38" t="str">
        <f aca="false">IF(A875="","",DATE(YEAR(A875),MONTH(A875),1))</f>
        <v/>
      </c>
    </row>
    <row r="876" customFormat="false" ht="15" hidden="false" customHeight="false" outlineLevel="0" collapsed="false">
      <c r="A876" s="31"/>
      <c r="B876" s="29"/>
      <c r="C876" s="29"/>
      <c r="D876" s="29"/>
      <c r="E876" s="39"/>
      <c r="F876" s="29"/>
      <c r="G876" s="38" t="str">
        <f aca="false">IF(A876="","",DATE(YEAR(A876),MONTH(A876),1))</f>
        <v/>
      </c>
    </row>
    <row r="877" customFormat="false" ht="15" hidden="false" customHeight="false" outlineLevel="0" collapsed="false">
      <c r="A877" s="31"/>
      <c r="B877" s="29"/>
      <c r="C877" s="29"/>
      <c r="D877" s="29"/>
      <c r="E877" s="39"/>
      <c r="F877" s="29"/>
      <c r="G877" s="38" t="str">
        <f aca="false">IF(A877="","",DATE(YEAR(A877),MONTH(A877),1))</f>
        <v/>
      </c>
    </row>
    <row r="878" customFormat="false" ht="15" hidden="false" customHeight="false" outlineLevel="0" collapsed="false">
      <c r="A878" s="31"/>
      <c r="B878" s="29"/>
      <c r="C878" s="29"/>
      <c r="D878" s="29"/>
      <c r="E878" s="39"/>
      <c r="F878" s="29"/>
      <c r="G878" s="38" t="str">
        <f aca="false">IF(A878="","",DATE(YEAR(A878),MONTH(A878),1))</f>
        <v/>
      </c>
    </row>
    <row r="879" customFormat="false" ht="15" hidden="false" customHeight="false" outlineLevel="0" collapsed="false">
      <c r="A879" s="31"/>
      <c r="B879" s="29"/>
      <c r="C879" s="29"/>
      <c r="D879" s="29"/>
      <c r="E879" s="39"/>
      <c r="F879" s="29"/>
      <c r="G879" s="38" t="str">
        <f aca="false">IF(A879="","",DATE(YEAR(A879),MONTH(A879),1))</f>
        <v/>
      </c>
    </row>
    <row r="880" customFormat="false" ht="15" hidden="false" customHeight="false" outlineLevel="0" collapsed="false">
      <c r="A880" s="31"/>
      <c r="B880" s="29"/>
      <c r="C880" s="29"/>
      <c r="D880" s="29"/>
      <c r="E880" s="39"/>
      <c r="F880" s="29"/>
      <c r="G880" s="38" t="str">
        <f aca="false">IF(A880="","",DATE(YEAR(A880),MONTH(A880),1))</f>
        <v/>
      </c>
    </row>
    <row r="881" customFormat="false" ht="15" hidden="false" customHeight="false" outlineLevel="0" collapsed="false">
      <c r="A881" s="31"/>
      <c r="B881" s="29"/>
      <c r="C881" s="29"/>
      <c r="D881" s="29"/>
      <c r="E881" s="39"/>
      <c r="F881" s="29"/>
      <c r="G881" s="38" t="str">
        <f aca="false">IF(A881="","",DATE(YEAR(A881),MONTH(A881),1))</f>
        <v/>
      </c>
    </row>
    <row r="882" customFormat="false" ht="15" hidden="false" customHeight="false" outlineLevel="0" collapsed="false">
      <c r="A882" s="31"/>
      <c r="B882" s="29"/>
      <c r="C882" s="29"/>
      <c r="D882" s="29"/>
      <c r="E882" s="39"/>
      <c r="F882" s="29"/>
      <c r="G882" s="38" t="str">
        <f aca="false">IF(A882="","",DATE(YEAR(A882),MONTH(A882),1))</f>
        <v/>
      </c>
    </row>
    <row r="883" customFormat="false" ht="15" hidden="false" customHeight="false" outlineLevel="0" collapsed="false">
      <c r="A883" s="31"/>
      <c r="B883" s="29"/>
      <c r="C883" s="29"/>
      <c r="D883" s="29"/>
      <c r="E883" s="39"/>
      <c r="F883" s="29"/>
      <c r="G883" s="38" t="str">
        <f aca="false">IF(A883="","",DATE(YEAR(A883),MONTH(A883),1))</f>
        <v/>
      </c>
    </row>
    <row r="884" customFormat="false" ht="15" hidden="false" customHeight="false" outlineLevel="0" collapsed="false">
      <c r="A884" s="31"/>
      <c r="B884" s="29"/>
      <c r="C884" s="29"/>
      <c r="D884" s="29"/>
      <c r="E884" s="39"/>
      <c r="F884" s="29"/>
      <c r="G884" s="38" t="str">
        <f aca="false">IF(A884="","",DATE(YEAR(A884),MONTH(A884),1))</f>
        <v/>
      </c>
    </row>
    <row r="885" customFormat="false" ht="15" hidden="false" customHeight="false" outlineLevel="0" collapsed="false">
      <c r="A885" s="31"/>
      <c r="B885" s="29"/>
      <c r="C885" s="29"/>
      <c r="D885" s="29"/>
      <c r="E885" s="39"/>
      <c r="F885" s="29"/>
      <c r="G885" s="38" t="str">
        <f aca="false">IF(A885="","",DATE(YEAR(A885),MONTH(A885),1))</f>
        <v/>
      </c>
    </row>
    <row r="886" customFormat="false" ht="15" hidden="false" customHeight="false" outlineLevel="0" collapsed="false">
      <c r="A886" s="31"/>
      <c r="B886" s="29"/>
      <c r="C886" s="29"/>
      <c r="D886" s="29"/>
      <c r="E886" s="39"/>
      <c r="F886" s="29"/>
      <c r="G886" s="38" t="str">
        <f aca="false">IF(A886="","",DATE(YEAR(A886),MONTH(A886),1))</f>
        <v/>
      </c>
    </row>
    <row r="887" customFormat="false" ht="15" hidden="false" customHeight="false" outlineLevel="0" collapsed="false">
      <c r="A887" s="31"/>
      <c r="B887" s="29"/>
      <c r="C887" s="29"/>
      <c r="D887" s="29"/>
      <c r="E887" s="39"/>
      <c r="F887" s="29"/>
      <c r="G887" s="38" t="str">
        <f aca="false">IF(A887="","",DATE(YEAR(A887),MONTH(A887),1))</f>
        <v/>
      </c>
    </row>
    <row r="888" customFormat="false" ht="15" hidden="false" customHeight="false" outlineLevel="0" collapsed="false">
      <c r="A888" s="31"/>
      <c r="B888" s="29"/>
      <c r="C888" s="29"/>
      <c r="D888" s="29"/>
      <c r="E888" s="39"/>
      <c r="F888" s="29"/>
      <c r="G888" s="38" t="str">
        <f aca="false">IF(A888="","",DATE(YEAR(A888),MONTH(A888),1))</f>
        <v/>
      </c>
    </row>
    <row r="889" customFormat="false" ht="15" hidden="false" customHeight="false" outlineLevel="0" collapsed="false">
      <c r="A889" s="31"/>
      <c r="B889" s="29"/>
      <c r="C889" s="29"/>
      <c r="D889" s="29"/>
      <c r="E889" s="39"/>
      <c r="F889" s="29"/>
      <c r="G889" s="38" t="str">
        <f aca="false">IF(A889="","",DATE(YEAR(A889),MONTH(A889),1))</f>
        <v/>
      </c>
    </row>
    <row r="890" customFormat="false" ht="15" hidden="false" customHeight="false" outlineLevel="0" collapsed="false">
      <c r="A890" s="31"/>
      <c r="B890" s="29"/>
      <c r="C890" s="29"/>
      <c r="D890" s="29"/>
      <c r="E890" s="39"/>
      <c r="F890" s="29"/>
      <c r="G890" s="38" t="str">
        <f aca="false">IF(A890="","",DATE(YEAR(A890),MONTH(A890),1))</f>
        <v/>
      </c>
    </row>
    <row r="891" customFormat="false" ht="15" hidden="false" customHeight="false" outlineLevel="0" collapsed="false">
      <c r="A891" s="31"/>
      <c r="B891" s="29"/>
      <c r="C891" s="29"/>
      <c r="D891" s="29"/>
      <c r="E891" s="39"/>
      <c r="F891" s="29"/>
      <c r="G891" s="38" t="str">
        <f aca="false">IF(A891="","",DATE(YEAR(A891),MONTH(A891),1))</f>
        <v/>
      </c>
    </row>
    <row r="892" customFormat="false" ht="15" hidden="false" customHeight="false" outlineLevel="0" collapsed="false">
      <c r="A892" s="31"/>
      <c r="B892" s="29"/>
      <c r="C892" s="29"/>
      <c r="D892" s="29"/>
      <c r="E892" s="39"/>
      <c r="F892" s="29"/>
      <c r="G892" s="38" t="str">
        <f aca="false">IF(A892="","",DATE(YEAR(A892),MONTH(A892),1))</f>
        <v/>
      </c>
    </row>
    <row r="893" customFormat="false" ht="15" hidden="false" customHeight="false" outlineLevel="0" collapsed="false">
      <c r="A893" s="31"/>
      <c r="B893" s="29"/>
      <c r="C893" s="29"/>
      <c r="D893" s="29"/>
      <c r="E893" s="39"/>
      <c r="F893" s="29"/>
      <c r="G893" s="38" t="str">
        <f aca="false">IF(A893="","",DATE(YEAR(A893),MONTH(A893),1))</f>
        <v/>
      </c>
    </row>
    <row r="894" customFormat="false" ht="15" hidden="false" customHeight="false" outlineLevel="0" collapsed="false">
      <c r="A894" s="31"/>
      <c r="B894" s="29"/>
      <c r="C894" s="29"/>
      <c r="D894" s="29"/>
      <c r="E894" s="39"/>
      <c r="F894" s="29"/>
      <c r="G894" s="38" t="str">
        <f aca="false">IF(A894="","",DATE(YEAR(A894),MONTH(A894),1))</f>
        <v/>
      </c>
    </row>
    <row r="895" customFormat="false" ht="15" hidden="false" customHeight="false" outlineLevel="0" collapsed="false">
      <c r="A895" s="31"/>
      <c r="B895" s="29"/>
      <c r="C895" s="29"/>
      <c r="D895" s="29"/>
      <c r="E895" s="39"/>
      <c r="F895" s="29"/>
      <c r="G895" s="38" t="str">
        <f aca="false">IF(A895="","",DATE(YEAR(A895),MONTH(A895),1))</f>
        <v/>
      </c>
    </row>
    <row r="896" customFormat="false" ht="15" hidden="false" customHeight="false" outlineLevel="0" collapsed="false">
      <c r="A896" s="31"/>
      <c r="B896" s="29"/>
      <c r="C896" s="29"/>
      <c r="D896" s="29"/>
      <c r="E896" s="39"/>
      <c r="F896" s="29"/>
      <c r="G896" s="38" t="str">
        <f aca="false">IF(A896="","",DATE(YEAR(A896),MONTH(A896),1))</f>
        <v/>
      </c>
    </row>
    <row r="897" customFormat="false" ht="15" hidden="false" customHeight="false" outlineLevel="0" collapsed="false">
      <c r="A897" s="31"/>
      <c r="B897" s="29"/>
      <c r="C897" s="29"/>
      <c r="D897" s="29"/>
      <c r="E897" s="39"/>
      <c r="F897" s="29"/>
      <c r="G897" s="38" t="str">
        <f aca="false">IF(A897="","",DATE(YEAR(A897),MONTH(A897),1))</f>
        <v/>
      </c>
    </row>
    <row r="898" customFormat="false" ht="15" hidden="false" customHeight="false" outlineLevel="0" collapsed="false">
      <c r="A898" s="31"/>
      <c r="B898" s="29"/>
      <c r="C898" s="29"/>
      <c r="D898" s="29"/>
      <c r="E898" s="39"/>
      <c r="F898" s="29"/>
      <c r="G898" s="38" t="str">
        <f aca="false">IF(A898="","",DATE(YEAR(A898),MONTH(A898),1))</f>
        <v/>
      </c>
    </row>
    <row r="899" customFormat="false" ht="15" hidden="false" customHeight="false" outlineLevel="0" collapsed="false">
      <c r="A899" s="31"/>
      <c r="B899" s="29"/>
      <c r="C899" s="29"/>
      <c r="D899" s="29"/>
      <c r="E899" s="39"/>
      <c r="F899" s="29"/>
      <c r="G899" s="38" t="str">
        <f aca="false">IF(A899="","",DATE(YEAR(A899),MONTH(A899),1))</f>
        <v/>
      </c>
    </row>
    <row r="900" customFormat="false" ht="15" hidden="false" customHeight="false" outlineLevel="0" collapsed="false">
      <c r="A900" s="31"/>
      <c r="B900" s="29"/>
      <c r="C900" s="29"/>
      <c r="D900" s="29"/>
      <c r="E900" s="39"/>
      <c r="F900" s="29"/>
      <c r="G900" s="38" t="str">
        <f aca="false">IF(A900="","",DATE(YEAR(A900),MONTH(A900),1))</f>
        <v/>
      </c>
    </row>
    <row r="901" customFormat="false" ht="15" hidden="false" customHeight="false" outlineLevel="0" collapsed="false">
      <c r="A901" s="31"/>
      <c r="B901" s="29"/>
      <c r="C901" s="29"/>
      <c r="D901" s="29"/>
      <c r="E901" s="39"/>
      <c r="F901" s="29"/>
      <c r="G901" s="38" t="str">
        <f aca="false">IF(A901="","",DATE(YEAR(A901),MONTH(A901),1))</f>
        <v/>
      </c>
    </row>
    <row r="902" customFormat="false" ht="15" hidden="false" customHeight="false" outlineLevel="0" collapsed="false">
      <c r="A902" s="31"/>
      <c r="B902" s="29"/>
      <c r="C902" s="29"/>
      <c r="D902" s="29"/>
      <c r="E902" s="39"/>
      <c r="F902" s="29"/>
      <c r="G902" s="38" t="str">
        <f aca="false">IF(A902="","",DATE(YEAR(A902),MONTH(A902),1))</f>
        <v/>
      </c>
    </row>
    <row r="903" customFormat="false" ht="15" hidden="false" customHeight="false" outlineLevel="0" collapsed="false">
      <c r="A903" s="31"/>
      <c r="B903" s="29"/>
      <c r="C903" s="29"/>
      <c r="D903" s="29"/>
      <c r="E903" s="39"/>
      <c r="F903" s="29"/>
      <c r="G903" s="38" t="str">
        <f aca="false">IF(A903="","",DATE(YEAR(A903),MONTH(A903),1))</f>
        <v/>
      </c>
    </row>
    <row r="904" customFormat="false" ht="15" hidden="false" customHeight="false" outlineLevel="0" collapsed="false">
      <c r="A904" s="31"/>
      <c r="B904" s="29"/>
      <c r="C904" s="29"/>
      <c r="D904" s="29"/>
      <c r="E904" s="39"/>
      <c r="F904" s="29"/>
      <c r="G904" s="38" t="str">
        <f aca="false">IF(A904="","",DATE(YEAR(A904),MONTH(A904),1))</f>
        <v/>
      </c>
    </row>
    <row r="905" customFormat="false" ht="15" hidden="false" customHeight="false" outlineLevel="0" collapsed="false">
      <c r="A905" s="31"/>
      <c r="B905" s="29"/>
      <c r="C905" s="29"/>
      <c r="D905" s="29"/>
      <c r="E905" s="39"/>
      <c r="F905" s="29"/>
      <c r="G905" s="38" t="str">
        <f aca="false">IF(A905="","",DATE(YEAR(A905),MONTH(A905),1))</f>
        <v/>
      </c>
    </row>
    <row r="906" customFormat="false" ht="15" hidden="false" customHeight="false" outlineLevel="0" collapsed="false">
      <c r="A906" s="31"/>
      <c r="B906" s="29"/>
      <c r="C906" s="29"/>
      <c r="D906" s="29"/>
      <c r="E906" s="39"/>
      <c r="F906" s="29"/>
      <c r="G906" s="38" t="str">
        <f aca="false">IF(A906="","",DATE(YEAR(A906),MONTH(A906),1))</f>
        <v/>
      </c>
    </row>
    <row r="907" customFormat="false" ht="15" hidden="false" customHeight="false" outlineLevel="0" collapsed="false">
      <c r="A907" s="31"/>
      <c r="B907" s="29"/>
      <c r="C907" s="29"/>
      <c r="D907" s="29"/>
      <c r="E907" s="39"/>
      <c r="F907" s="29"/>
      <c r="G907" s="38" t="str">
        <f aca="false">IF(A907="","",DATE(YEAR(A907),MONTH(A907),1))</f>
        <v/>
      </c>
    </row>
    <row r="908" customFormat="false" ht="15" hidden="false" customHeight="false" outlineLevel="0" collapsed="false">
      <c r="A908" s="31"/>
      <c r="B908" s="29"/>
      <c r="C908" s="29"/>
      <c r="D908" s="29"/>
      <c r="E908" s="39"/>
      <c r="F908" s="29"/>
      <c r="G908" s="38" t="str">
        <f aca="false">IF(A908="","",DATE(YEAR(A908),MONTH(A908),1))</f>
        <v/>
      </c>
    </row>
    <row r="909" customFormat="false" ht="15" hidden="false" customHeight="false" outlineLevel="0" collapsed="false">
      <c r="A909" s="31"/>
      <c r="B909" s="29"/>
      <c r="C909" s="29"/>
      <c r="D909" s="29"/>
      <c r="E909" s="39"/>
      <c r="F909" s="29"/>
      <c r="G909" s="38" t="str">
        <f aca="false">IF(A909="","",DATE(YEAR(A909),MONTH(A909),1))</f>
        <v/>
      </c>
    </row>
    <row r="910" customFormat="false" ht="15" hidden="false" customHeight="false" outlineLevel="0" collapsed="false">
      <c r="A910" s="31"/>
      <c r="B910" s="29"/>
      <c r="C910" s="29"/>
      <c r="D910" s="29"/>
      <c r="E910" s="39"/>
      <c r="F910" s="29"/>
      <c r="G910" s="38" t="str">
        <f aca="false">IF(A910="","",DATE(YEAR(A910),MONTH(A910),1))</f>
        <v/>
      </c>
    </row>
    <row r="911" customFormat="false" ht="15" hidden="false" customHeight="false" outlineLevel="0" collapsed="false">
      <c r="A911" s="31"/>
      <c r="B911" s="29"/>
      <c r="C911" s="29"/>
      <c r="D911" s="29"/>
      <c r="E911" s="39"/>
      <c r="F911" s="29"/>
      <c r="G911" s="38" t="str">
        <f aca="false">IF(A911="","",DATE(YEAR(A911),MONTH(A911),1))</f>
        <v/>
      </c>
    </row>
    <row r="912" customFormat="false" ht="15" hidden="false" customHeight="false" outlineLevel="0" collapsed="false">
      <c r="A912" s="31"/>
      <c r="B912" s="29"/>
      <c r="C912" s="29"/>
      <c r="D912" s="29"/>
      <c r="E912" s="39"/>
      <c r="F912" s="29"/>
      <c r="G912" s="38" t="str">
        <f aca="false">IF(A912="","",DATE(YEAR(A912),MONTH(A912),1))</f>
        <v/>
      </c>
    </row>
    <row r="913" customFormat="false" ht="15" hidden="false" customHeight="false" outlineLevel="0" collapsed="false">
      <c r="A913" s="31"/>
      <c r="B913" s="29"/>
      <c r="C913" s="29"/>
      <c r="D913" s="29"/>
      <c r="E913" s="39"/>
      <c r="F913" s="29"/>
      <c r="G913" s="38" t="str">
        <f aca="false">IF(A913="","",DATE(YEAR(A913),MONTH(A913),1))</f>
        <v/>
      </c>
    </row>
    <row r="914" customFormat="false" ht="15" hidden="false" customHeight="false" outlineLevel="0" collapsed="false">
      <c r="A914" s="31"/>
      <c r="B914" s="29"/>
      <c r="C914" s="29"/>
      <c r="D914" s="29"/>
      <c r="E914" s="39"/>
      <c r="F914" s="29"/>
      <c r="G914" s="38" t="str">
        <f aca="false">IF(A914="","",DATE(YEAR(A914),MONTH(A914),1))</f>
        <v/>
      </c>
    </row>
    <row r="915" customFormat="false" ht="15" hidden="false" customHeight="false" outlineLevel="0" collapsed="false">
      <c r="A915" s="31"/>
      <c r="B915" s="29"/>
      <c r="C915" s="29"/>
      <c r="D915" s="29"/>
      <c r="E915" s="39"/>
      <c r="F915" s="29"/>
      <c r="G915" s="38" t="str">
        <f aca="false">IF(A915="","",DATE(YEAR(A915),MONTH(A915),1))</f>
        <v/>
      </c>
    </row>
    <row r="916" customFormat="false" ht="15" hidden="false" customHeight="false" outlineLevel="0" collapsed="false">
      <c r="A916" s="31"/>
      <c r="B916" s="29"/>
      <c r="C916" s="29"/>
      <c r="D916" s="29"/>
      <c r="E916" s="39"/>
      <c r="F916" s="29"/>
      <c r="G916" s="38" t="str">
        <f aca="false">IF(A916="","",DATE(YEAR(A916),MONTH(A916),1))</f>
        <v/>
      </c>
    </row>
    <row r="917" customFormat="false" ht="15" hidden="false" customHeight="false" outlineLevel="0" collapsed="false">
      <c r="A917" s="31"/>
      <c r="B917" s="29"/>
      <c r="C917" s="29"/>
      <c r="D917" s="29"/>
      <c r="E917" s="39"/>
      <c r="F917" s="29"/>
      <c r="G917" s="38" t="str">
        <f aca="false">IF(A917="","",DATE(YEAR(A917),MONTH(A917),1))</f>
        <v/>
      </c>
    </row>
    <row r="918" customFormat="false" ht="15" hidden="false" customHeight="false" outlineLevel="0" collapsed="false">
      <c r="A918" s="31"/>
      <c r="B918" s="29"/>
      <c r="C918" s="29"/>
      <c r="D918" s="29"/>
      <c r="E918" s="39"/>
      <c r="F918" s="29"/>
      <c r="G918" s="38" t="str">
        <f aca="false">IF(A918="","",DATE(YEAR(A918),MONTH(A918),1))</f>
        <v/>
      </c>
    </row>
    <row r="919" customFormat="false" ht="15" hidden="false" customHeight="false" outlineLevel="0" collapsed="false">
      <c r="A919" s="31"/>
      <c r="B919" s="29"/>
      <c r="C919" s="29"/>
      <c r="D919" s="29"/>
      <c r="E919" s="39"/>
      <c r="F919" s="29"/>
      <c r="G919" s="38" t="str">
        <f aca="false">IF(A919="","",DATE(YEAR(A919),MONTH(A919),1))</f>
        <v/>
      </c>
    </row>
    <row r="920" customFormat="false" ht="15" hidden="false" customHeight="false" outlineLevel="0" collapsed="false">
      <c r="A920" s="31"/>
      <c r="B920" s="29"/>
      <c r="C920" s="29"/>
      <c r="D920" s="29"/>
      <c r="E920" s="39"/>
      <c r="F920" s="29"/>
      <c r="G920" s="38" t="str">
        <f aca="false">IF(A920="","",DATE(YEAR(A920),MONTH(A920),1))</f>
        <v/>
      </c>
    </row>
    <row r="921" customFormat="false" ht="15" hidden="false" customHeight="false" outlineLevel="0" collapsed="false">
      <c r="A921" s="31"/>
      <c r="B921" s="29"/>
      <c r="C921" s="29"/>
      <c r="D921" s="29"/>
      <c r="E921" s="39"/>
      <c r="F921" s="29"/>
      <c r="G921" s="38" t="str">
        <f aca="false">IF(A921="","",DATE(YEAR(A921),MONTH(A921),1))</f>
        <v/>
      </c>
    </row>
    <row r="922" customFormat="false" ht="15" hidden="false" customHeight="false" outlineLevel="0" collapsed="false">
      <c r="A922" s="31"/>
      <c r="B922" s="29"/>
      <c r="C922" s="29"/>
      <c r="D922" s="29"/>
      <c r="E922" s="39"/>
      <c r="F922" s="29"/>
      <c r="G922" s="38" t="str">
        <f aca="false">IF(A922="","",DATE(YEAR(A922),MONTH(A922),1))</f>
        <v/>
      </c>
    </row>
    <row r="923" customFormat="false" ht="15" hidden="false" customHeight="false" outlineLevel="0" collapsed="false">
      <c r="A923" s="31"/>
      <c r="B923" s="29"/>
      <c r="C923" s="29"/>
      <c r="D923" s="29"/>
      <c r="E923" s="39"/>
      <c r="F923" s="29"/>
      <c r="G923" s="38" t="str">
        <f aca="false">IF(A923="","",DATE(YEAR(A923),MONTH(A923),1))</f>
        <v/>
      </c>
    </row>
    <row r="924" customFormat="false" ht="15" hidden="false" customHeight="false" outlineLevel="0" collapsed="false">
      <c r="A924" s="31"/>
      <c r="B924" s="29"/>
      <c r="C924" s="29"/>
      <c r="D924" s="29"/>
      <c r="E924" s="39"/>
      <c r="F924" s="29"/>
      <c r="G924" s="38" t="str">
        <f aca="false">IF(A924="","",DATE(YEAR(A924),MONTH(A924),1))</f>
        <v/>
      </c>
    </row>
    <row r="925" customFormat="false" ht="15" hidden="false" customHeight="false" outlineLevel="0" collapsed="false">
      <c r="A925" s="31"/>
      <c r="B925" s="29"/>
      <c r="C925" s="29"/>
      <c r="D925" s="29"/>
      <c r="E925" s="39"/>
      <c r="F925" s="29"/>
      <c r="G925" s="38" t="str">
        <f aca="false">IF(A925="","",DATE(YEAR(A925),MONTH(A925),1))</f>
        <v/>
      </c>
    </row>
    <row r="926" customFormat="false" ht="15" hidden="false" customHeight="false" outlineLevel="0" collapsed="false">
      <c r="A926" s="31"/>
      <c r="B926" s="29"/>
      <c r="C926" s="29"/>
      <c r="D926" s="29"/>
      <c r="E926" s="39"/>
      <c r="F926" s="29"/>
      <c r="G926" s="38" t="str">
        <f aca="false">IF(A926="","",DATE(YEAR(A926),MONTH(A926),1))</f>
        <v/>
      </c>
    </row>
    <row r="927" customFormat="false" ht="15" hidden="false" customHeight="false" outlineLevel="0" collapsed="false">
      <c r="A927" s="31"/>
      <c r="B927" s="29"/>
      <c r="C927" s="29"/>
      <c r="D927" s="29"/>
      <c r="E927" s="39"/>
      <c r="F927" s="29"/>
      <c r="G927" s="38" t="str">
        <f aca="false">IF(A927="","",DATE(YEAR(A927),MONTH(A927),1))</f>
        <v/>
      </c>
    </row>
    <row r="928" customFormat="false" ht="15" hidden="false" customHeight="false" outlineLevel="0" collapsed="false">
      <c r="A928" s="31"/>
      <c r="B928" s="29"/>
      <c r="C928" s="29"/>
      <c r="D928" s="29"/>
      <c r="E928" s="39"/>
      <c r="F928" s="29"/>
      <c r="G928" s="38" t="str">
        <f aca="false">IF(A928="","",DATE(YEAR(A928),MONTH(A928),1))</f>
        <v/>
      </c>
    </row>
    <row r="929" customFormat="false" ht="15" hidden="false" customHeight="false" outlineLevel="0" collapsed="false">
      <c r="A929" s="31"/>
      <c r="B929" s="29"/>
      <c r="C929" s="29"/>
      <c r="D929" s="29"/>
      <c r="E929" s="39"/>
      <c r="F929" s="29"/>
      <c r="G929" s="38" t="str">
        <f aca="false">IF(A929="","",DATE(YEAR(A929),MONTH(A929),1))</f>
        <v/>
      </c>
    </row>
    <row r="930" customFormat="false" ht="15" hidden="false" customHeight="false" outlineLevel="0" collapsed="false">
      <c r="A930" s="31"/>
      <c r="B930" s="29"/>
      <c r="C930" s="29"/>
      <c r="D930" s="29"/>
      <c r="E930" s="39"/>
      <c r="F930" s="29"/>
      <c r="G930" s="38" t="str">
        <f aca="false">IF(A930="","",DATE(YEAR(A930),MONTH(A930),1))</f>
        <v/>
      </c>
    </row>
    <row r="931" customFormat="false" ht="15" hidden="false" customHeight="false" outlineLevel="0" collapsed="false">
      <c r="A931" s="31"/>
      <c r="B931" s="29"/>
      <c r="C931" s="29"/>
      <c r="D931" s="29"/>
      <c r="E931" s="39"/>
      <c r="F931" s="29"/>
      <c r="G931" s="38" t="str">
        <f aca="false">IF(A931="","",DATE(YEAR(A931),MONTH(A931),1))</f>
        <v/>
      </c>
    </row>
    <row r="932" customFormat="false" ht="15" hidden="false" customHeight="false" outlineLevel="0" collapsed="false">
      <c r="A932" s="31"/>
      <c r="B932" s="29"/>
      <c r="C932" s="29"/>
      <c r="D932" s="29"/>
      <c r="E932" s="39"/>
      <c r="F932" s="29"/>
      <c r="G932" s="38" t="str">
        <f aca="false">IF(A932="","",DATE(YEAR(A932),MONTH(A932),1))</f>
        <v/>
      </c>
    </row>
    <row r="933" customFormat="false" ht="15" hidden="false" customHeight="false" outlineLevel="0" collapsed="false">
      <c r="A933" s="31"/>
      <c r="B933" s="29"/>
      <c r="C933" s="29"/>
      <c r="D933" s="29"/>
      <c r="E933" s="39"/>
      <c r="F933" s="29"/>
      <c r="G933" s="38" t="str">
        <f aca="false">IF(A933="","",DATE(YEAR(A933),MONTH(A933),1))</f>
        <v/>
      </c>
    </row>
    <row r="934" customFormat="false" ht="15" hidden="false" customHeight="false" outlineLevel="0" collapsed="false">
      <c r="A934" s="31"/>
      <c r="B934" s="29"/>
      <c r="C934" s="29"/>
      <c r="D934" s="29"/>
      <c r="E934" s="39"/>
      <c r="F934" s="29"/>
      <c r="G934" s="38" t="str">
        <f aca="false">IF(A934="","",DATE(YEAR(A934),MONTH(A934),1))</f>
        <v/>
      </c>
    </row>
    <row r="935" customFormat="false" ht="15" hidden="false" customHeight="false" outlineLevel="0" collapsed="false">
      <c r="A935" s="31"/>
      <c r="B935" s="29"/>
      <c r="C935" s="29"/>
      <c r="D935" s="29"/>
      <c r="E935" s="39"/>
      <c r="F935" s="29"/>
      <c r="G935" s="38" t="str">
        <f aca="false">IF(A935="","",DATE(YEAR(A935),MONTH(A935),1))</f>
        <v/>
      </c>
    </row>
    <row r="936" customFormat="false" ht="15" hidden="false" customHeight="false" outlineLevel="0" collapsed="false">
      <c r="A936" s="31"/>
      <c r="B936" s="29"/>
      <c r="C936" s="29"/>
      <c r="D936" s="29"/>
      <c r="E936" s="39"/>
      <c r="F936" s="29"/>
      <c r="G936" s="38" t="str">
        <f aca="false">IF(A936="","",DATE(YEAR(A936),MONTH(A936),1))</f>
        <v/>
      </c>
    </row>
    <row r="937" customFormat="false" ht="15" hidden="false" customHeight="false" outlineLevel="0" collapsed="false">
      <c r="A937" s="31"/>
      <c r="B937" s="29"/>
      <c r="C937" s="29"/>
      <c r="D937" s="29"/>
      <c r="E937" s="39"/>
      <c r="F937" s="29"/>
      <c r="G937" s="38" t="str">
        <f aca="false">IF(A937="","",DATE(YEAR(A937),MONTH(A937),1))</f>
        <v/>
      </c>
    </row>
    <row r="938" customFormat="false" ht="15" hidden="false" customHeight="false" outlineLevel="0" collapsed="false">
      <c r="A938" s="31"/>
      <c r="B938" s="29"/>
      <c r="C938" s="29"/>
      <c r="D938" s="29"/>
      <c r="E938" s="39"/>
      <c r="F938" s="29"/>
      <c r="G938" s="38" t="str">
        <f aca="false">IF(A938="","",DATE(YEAR(A938),MONTH(A938),1))</f>
        <v/>
      </c>
    </row>
    <row r="939" customFormat="false" ht="15" hidden="false" customHeight="false" outlineLevel="0" collapsed="false">
      <c r="A939" s="31"/>
      <c r="B939" s="29"/>
      <c r="C939" s="29"/>
      <c r="D939" s="29"/>
      <c r="E939" s="39"/>
      <c r="F939" s="29"/>
      <c r="G939" s="38" t="str">
        <f aca="false">IF(A939="","",DATE(YEAR(A939),MONTH(A939),1))</f>
        <v/>
      </c>
    </row>
    <row r="940" customFormat="false" ht="15" hidden="false" customHeight="false" outlineLevel="0" collapsed="false">
      <c r="A940" s="31"/>
      <c r="B940" s="29"/>
      <c r="C940" s="29"/>
      <c r="D940" s="29"/>
      <c r="E940" s="39"/>
      <c r="F940" s="29"/>
      <c r="G940" s="38" t="str">
        <f aca="false">IF(A940="","",DATE(YEAR(A940),MONTH(A940),1))</f>
        <v/>
      </c>
    </row>
    <row r="941" customFormat="false" ht="15" hidden="false" customHeight="false" outlineLevel="0" collapsed="false">
      <c r="A941" s="31"/>
      <c r="B941" s="29"/>
      <c r="C941" s="29"/>
      <c r="D941" s="29"/>
      <c r="E941" s="39"/>
      <c r="F941" s="29"/>
      <c r="G941" s="38" t="str">
        <f aca="false">IF(A941="","",DATE(YEAR(A941),MONTH(A941),1))</f>
        <v/>
      </c>
    </row>
    <row r="942" customFormat="false" ht="15" hidden="false" customHeight="false" outlineLevel="0" collapsed="false">
      <c r="A942" s="31"/>
      <c r="B942" s="29"/>
      <c r="C942" s="29"/>
      <c r="D942" s="29"/>
      <c r="E942" s="39"/>
      <c r="F942" s="29"/>
      <c r="G942" s="38" t="str">
        <f aca="false">IF(A942="","",DATE(YEAR(A942),MONTH(A942),1))</f>
        <v/>
      </c>
    </row>
    <row r="943" customFormat="false" ht="15" hidden="false" customHeight="false" outlineLevel="0" collapsed="false">
      <c r="A943" s="31"/>
      <c r="B943" s="29"/>
      <c r="C943" s="29"/>
      <c r="D943" s="29"/>
      <c r="E943" s="39"/>
      <c r="F943" s="29"/>
      <c r="G943" s="38" t="str">
        <f aca="false">IF(A943="","",DATE(YEAR(A943),MONTH(A943),1))</f>
        <v/>
      </c>
    </row>
    <row r="944" customFormat="false" ht="15" hidden="false" customHeight="false" outlineLevel="0" collapsed="false">
      <c r="A944" s="31"/>
      <c r="B944" s="29"/>
      <c r="C944" s="29"/>
      <c r="D944" s="29"/>
      <c r="E944" s="39"/>
      <c r="F944" s="29"/>
      <c r="G944" s="38" t="str">
        <f aca="false">IF(A944="","",DATE(YEAR(A944),MONTH(A944),1))</f>
        <v/>
      </c>
    </row>
    <row r="945" customFormat="false" ht="15" hidden="false" customHeight="false" outlineLevel="0" collapsed="false">
      <c r="A945" s="31"/>
      <c r="B945" s="29"/>
      <c r="C945" s="29"/>
      <c r="D945" s="29"/>
      <c r="E945" s="39"/>
      <c r="F945" s="29"/>
      <c r="G945" s="38" t="str">
        <f aca="false">IF(A945="","",DATE(YEAR(A945),MONTH(A945),1))</f>
        <v/>
      </c>
    </row>
    <row r="946" customFormat="false" ht="15" hidden="false" customHeight="false" outlineLevel="0" collapsed="false">
      <c r="A946" s="31"/>
      <c r="B946" s="29"/>
      <c r="C946" s="29"/>
      <c r="D946" s="29"/>
      <c r="E946" s="39"/>
      <c r="F946" s="29"/>
      <c r="G946" s="38" t="str">
        <f aca="false">IF(A946="","",DATE(YEAR(A946),MONTH(A946),1))</f>
        <v/>
      </c>
    </row>
    <row r="947" customFormat="false" ht="15" hidden="false" customHeight="false" outlineLevel="0" collapsed="false">
      <c r="A947" s="31"/>
      <c r="B947" s="29"/>
      <c r="C947" s="29"/>
      <c r="D947" s="29"/>
      <c r="E947" s="39"/>
      <c r="F947" s="29"/>
      <c r="G947" s="38" t="str">
        <f aca="false">IF(A947="","",DATE(YEAR(A947),MONTH(A947),1))</f>
        <v/>
      </c>
    </row>
    <row r="948" customFormat="false" ht="15" hidden="false" customHeight="false" outlineLevel="0" collapsed="false">
      <c r="A948" s="31"/>
      <c r="B948" s="29"/>
      <c r="C948" s="29"/>
      <c r="D948" s="29"/>
      <c r="E948" s="39"/>
      <c r="F948" s="29"/>
      <c r="G948" s="38" t="str">
        <f aca="false">IF(A948="","",DATE(YEAR(A948),MONTH(A948),1))</f>
        <v/>
      </c>
    </row>
    <row r="949" customFormat="false" ht="15" hidden="false" customHeight="false" outlineLevel="0" collapsed="false">
      <c r="A949" s="31"/>
      <c r="B949" s="29"/>
      <c r="C949" s="29"/>
      <c r="D949" s="29"/>
      <c r="E949" s="39"/>
      <c r="F949" s="29"/>
      <c r="G949" s="38" t="str">
        <f aca="false">IF(A949="","",DATE(YEAR(A949),MONTH(A949),1))</f>
        <v/>
      </c>
    </row>
    <row r="950" customFormat="false" ht="15" hidden="false" customHeight="false" outlineLevel="0" collapsed="false">
      <c r="A950" s="31"/>
      <c r="B950" s="29"/>
      <c r="C950" s="29"/>
      <c r="D950" s="29"/>
      <c r="E950" s="39"/>
      <c r="F950" s="29"/>
      <c r="G950" s="38" t="str">
        <f aca="false">IF(A950="","",DATE(YEAR(A950),MONTH(A950),1))</f>
        <v/>
      </c>
    </row>
    <row r="951" customFormat="false" ht="15" hidden="false" customHeight="false" outlineLevel="0" collapsed="false">
      <c r="A951" s="31"/>
      <c r="B951" s="29"/>
      <c r="C951" s="29"/>
      <c r="D951" s="29"/>
      <c r="E951" s="39"/>
      <c r="F951" s="29"/>
      <c r="G951" s="38" t="str">
        <f aca="false">IF(A951="","",DATE(YEAR(A951),MONTH(A951),1))</f>
        <v/>
      </c>
    </row>
    <row r="952" customFormat="false" ht="15" hidden="false" customHeight="false" outlineLevel="0" collapsed="false">
      <c r="A952" s="31"/>
      <c r="B952" s="29"/>
      <c r="C952" s="29"/>
      <c r="D952" s="29"/>
      <c r="E952" s="39"/>
      <c r="F952" s="29"/>
      <c r="G952" s="38" t="str">
        <f aca="false">IF(A952="","",DATE(YEAR(A952),MONTH(A952),1))</f>
        <v/>
      </c>
    </row>
    <row r="953" customFormat="false" ht="15" hidden="false" customHeight="false" outlineLevel="0" collapsed="false">
      <c r="A953" s="31"/>
      <c r="B953" s="29"/>
      <c r="C953" s="29"/>
      <c r="D953" s="29"/>
      <c r="E953" s="39"/>
      <c r="F953" s="29"/>
      <c r="G953" s="38" t="str">
        <f aca="false">IF(A953="","",DATE(YEAR(A953),MONTH(A953),1))</f>
        <v/>
      </c>
    </row>
    <row r="954" customFormat="false" ht="15" hidden="false" customHeight="false" outlineLevel="0" collapsed="false">
      <c r="A954" s="31"/>
      <c r="B954" s="29"/>
      <c r="C954" s="29"/>
      <c r="D954" s="29"/>
      <c r="E954" s="39"/>
      <c r="F954" s="29"/>
      <c r="G954" s="38" t="str">
        <f aca="false">IF(A954="","",DATE(YEAR(A954),MONTH(A954),1))</f>
        <v/>
      </c>
    </row>
    <row r="955" customFormat="false" ht="15" hidden="false" customHeight="false" outlineLevel="0" collapsed="false">
      <c r="A955" s="31"/>
      <c r="B955" s="29"/>
      <c r="C955" s="29"/>
      <c r="D955" s="29"/>
      <c r="E955" s="39"/>
      <c r="F955" s="29"/>
      <c r="G955" s="38" t="str">
        <f aca="false">IF(A955="","",DATE(YEAR(A955),MONTH(A955),1))</f>
        <v/>
      </c>
    </row>
    <row r="956" customFormat="false" ht="15" hidden="false" customHeight="false" outlineLevel="0" collapsed="false">
      <c r="A956" s="31"/>
      <c r="B956" s="29"/>
      <c r="C956" s="29"/>
      <c r="D956" s="29"/>
      <c r="E956" s="39"/>
      <c r="F956" s="29"/>
      <c r="G956" s="38" t="str">
        <f aca="false">IF(A956="","",DATE(YEAR(A956),MONTH(A956),1))</f>
        <v/>
      </c>
    </row>
    <row r="957" customFormat="false" ht="15" hidden="false" customHeight="false" outlineLevel="0" collapsed="false">
      <c r="A957" s="31"/>
      <c r="B957" s="29"/>
      <c r="C957" s="29"/>
      <c r="D957" s="29"/>
      <c r="E957" s="39"/>
      <c r="F957" s="29"/>
      <c r="G957" s="38" t="str">
        <f aca="false">IF(A957="","",DATE(YEAR(A957),MONTH(A957),1))</f>
        <v/>
      </c>
    </row>
    <row r="958" customFormat="false" ht="15" hidden="false" customHeight="false" outlineLevel="0" collapsed="false">
      <c r="A958" s="31"/>
      <c r="B958" s="29"/>
      <c r="C958" s="29"/>
      <c r="D958" s="29"/>
      <c r="E958" s="39"/>
      <c r="F958" s="29"/>
      <c r="G958" s="38" t="str">
        <f aca="false">IF(A958="","",DATE(YEAR(A958),MONTH(A958),1))</f>
        <v/>
      </c>
    </row>
    <row r="959" customFormat="false" ht="15" hidden="false" customHeight="false" outlineLevel="0" collapsed="false">
      <c r="A959" s="31"/>
      <c r="B959" s="29"/>
      <c r="C959" s="29"/>
      <c r="D959" s="29"/>
      <c r="E959" s="39"/>
      <c r="F959" s="29"/>
      <c r="G959" s="38" t="str">
        <f aca="false">IF(A959="","",DATE(YEAR(A959),MONTH(A959),1))</f>
        <v/>
      </c>
    </row>
    <row r="960" customFormat="false" ht="15" hidden="false" customHeight="false" outlineLevel="0" collapsed="false">
      <c r="A960" s="31"/>
      <c r="B960" s="29"/>
      <c r="C960" s="29"/>
      <c r="D960" s="29"/>
      <c r="E960" s="39"/>
      <c r="F960" s="29"/>
      <c r="G960" s="38" t="str">
        <f aca="false">IF(A960="","",DATE(YEAR(A960),MONTH(A960),1))</f>
        <v/>
      </c>
    </row>
    <row r="961" customFormat="false" ht="15" hidden="false" customHeight="false" outlineLevel="0" collapsed="false">
      <c r="A961" s="31"/>
      <c r="B961" s="29"/>
      <c r="C961" s="29"/>
      <c r="D961" s="29"/>
      <c r="E961" s="39"/>
      <c r="F961" s="29"/>
      <c r="G961" s="38" t="str">
        <f aca="false">IF(A961="","",DATE(YEAR(A961),MONTH(A961),1))</f>
        <v/>
      </c>
    </row>
    <row r="962" customFormat="false" ht="15" hidden="false" customHeight="false" outlineLevel="0" collapsed="false">
      <c r="A962" s="31"/>
      <c r="B962" s="29"/>
      <c r="C962" s="29"/>
      <c r="D962" s="29"/>
      <c r="E962" s="39"/>
      <c r="F962" s="29"/>
      <c r="G962" s="38" t="str">
        <f aca="false">IF(A962="","",DATE(YEAR(A962),MONTH(A962),1))</f>
        <v/>
      </c>
    </row>
    <row r="963" customFormat="false" ht="15" hidden="false" customHeight="false" outlineLevel="0" collapsed="false">
      <c r="A963" s="31"/>
      <c r="B963" s="29"/>
      <c r="C963" s="29"/>
      <c r="D963" s="29"/>
      <c r="E963" s="39"/>
      <c r="F963" s="29"/>
      <c r="G963" s="38" t="str">
        <f aca="false">IF(A963="","",DATE(YEAR(A963),MONTH(A963),1))</f>
        <v/>
      </c>
    </row>
    <row r="964" customFormat="false" ht="15" hidden="false" customHeight="false" outlineLevel="0" collapsed="false">
      <c r="A964" s="31"/>
      <c r="B964" s="29"/>
      <c r="C964" s="29"/>
      <c r="D964" s="29"/>
      <c r="E964" s="39"/>
      <c r="F964" s="29"/>
      <c r="G964" s="38" t="str">
        <f aca="false">IF(A964="","",DATE(YEAR(A964),MONTH(A964),1))</f>
        <v/>
      </c>
    </row>
    <row r="965" customFormat="false" ht="15" hidden="false" customHeight="false" outlineLevel="0" collapsed="false">
      <c r="A965" s="31"/>
      <c r="B965" s="29"/>
      <c r="C965" s="29"/>
      <c r="D965" s="29"/>
      <c r="E965" s="39"/>
      <c r="F965" s="29"/>
      <c r="G965" s="38" t="str">
        <f aca="false">IF(A965="","",DATE(YEAR(A965),MONTH(A965),1))</f>
        <v/>
      </c>
    </row>
    <row r="966" customFormat="false" ht="15" hidden="false" customHeight="false" outlineLevel="0" collapsed="false">
      <c r="A966" s="31"/>
      <c r="B966" s="29"/>
      <c r="C966" s="29"/>
      <c r="D966" s="29"/>
      <c r="E966" s="39"/>
      <c r="F966" s="29"/>
      <c r="G966" s="38" t="str">
        <f aca="false">IF(A966="","",DATE(YEAR(A966),MONTH(A966),1))</f>
        <v/>
      </c>
    </row>
    <row r="967" customFormat="false" ht="15" hidden="false" customHeight="false" outlineLevel="0" collapsed="false">
      <c r="A967" s="31"/>
      <c r="B967" s="29"/>
      <c r="C967" s="29"/>
      <c r="D967" s="29"/>
      <c r="E967" s="39"/>
      <c r="F967" s="29"/>
      <c r="G967" s="38" t="str">
        <f aca="false">IF(A967="","",DATE(YEAR(A967),MONTH(A967),1))</f>
        <v/>
      </c>
    </row>
    <row r="968" customFormat="false" ht="15" hidden="false" customHeight="false" outlineLevel="0" collapsed="false">
      <c r="A968" s="31"/>
      <c r="B968" s="29"/>
      <c r="C968" s="29"/>
      <c r="D968" s="29"/>
      <c r="E968" s="39"/>
      <c r="F968" s="29"/>
      <c r="G968" s="38" t="str">
        <f aca="false">IF(A968="","",DATE(YEAR(A968),MONTH(A968),1))</f>
        <v/>
      </c>
    </row>
    <row r="969" customFormat="false" ht="15" hidden="false" customHeight="false" outlineLevel="0" collapsed="false">
      <c r="A969" s="31"/>
      <c r="B969" s="29"/>
      <c r="C969" s="29"/>
      <c r="D969" s="29"/>
      <c r="E969" s="39"/>
      <c r="F969" s="29"/>
      <c r="G969" s="38" t="str">
        <f aca="false">IF(A969="","",DATE(YEAR(A969),MONTH(A969),1))</f>
        <v/>
      </c>
    </row>
    <row r="970" customFormat="false" ht="15" hidden="false" customHeight="false" outlineLevel="0" collapsed="false">
      <c r="A970" s="31"/>
      <c r="B970" s="29"/>
      <c r="C970" s="29"/>
      <c r="D970" s="29"/>
      <c r="E970" s="39"/>
      <c r="F970" s="29"/>
      <c r="G970" s="38" t="str">
        <f aca="false">IF(A970="","",DATE(YEAR(A970),MONTH(A970),1))</f>
        <v/>
      </c>
    </row>
    <row r="971" customFormat="false" ht="15" hidden="false" customHeight="false" outlineLevel="0" collapsed="false">
      <c r="A971" s="31"/>
      <c r="B971" s="29"/>
      <c r="C971" s="29"/>
      <c r="D971" s="29"/>
      <c r="E971" s="39"/>
      <c r="F971" s="29"/>
      <c r="G971" s="38" t="str">
        <f aca="false">IF(A971="","",DATE(YEAR(A971),MONTH(A971),1))</f>
        <v/>
      </c>
    </row>
    <row r="972" customFormat="false" ht="15" hidden="false" customHeight="false" outlineLevel="0" collapsed="false">
      <c r="A972" s="31"/>
      <c r="B972" s="29"/>
      <c r="C972" s="29"/>
      <c r="D972" s="29"/>
      <c r="E972" s="39"/>
      <c r="F972" s="29"/>
      <c r="G972" s="38" t="str">
        <f aca="false">IF(A972="","",DATE(YEAR(A972),MONTH(A972),1))</f>
        <v/>
      </c>
    </row>
    <row r="973" customFormat="false" ht="15" hidden="false" customHeight="false" outlineLevel="0" collapsed="false">
      <c r="A973" s="31"/>
      <c r="B973" s="29"/>
      <c r="C973" s="29"/>
      <c r="D973" s="29"/>
      <c r="E973" s="39"/>
      <c r="F973" s="29"/>
      <c r="G973" s="38" t="str">
        <f aca="false">IF(A973="","",DATE(YEAR(A973),MONTH(A973),1))</f>
        <v/>
      </c>
    </row>
    <row r="974" customFormat="false" ht="15" hidden="false" customHeight="false" outlineLevel="0" collapsed="false">
      <c r="A974" s="31"/>
      <c r="B974" s="29"/>
      <c r="C974" s="29"/>
      <c r="D974" s="29"/>
      <c r="E974" s="39"/>
      <c r="F974" s="29"/>
      <c r="G974" s="38" t="str">
        <f aca="false">IF(A974="","",DATE(YEAR(A974),MONTH(A974),1))</f>
        <v/>
      </c>
    </row>
    <row r="975" customFormat="false" ht="15" hidden="false" customHeight="false" outlineLevel="0" collapsed="false">
      <c r="A975" s="31"/>
      <c r="B975" s="29"/>
      <c r="C975" s="29"/>
      <c r="D975" s="29"/>
      <c r="E975" s="39"/>
      <c r="F975" s="29"/>
      <c r="G975" s="38" t="str">
        <f aca="false">IF(A975="","",DATE(YEAR(A975),MONTH(A975),1))</f>
        <v/>
      </c>
    </row>
    <row r="976" customFormat="false" ht="15" hidden="false" customHeight="false" outlineLevel="0" collapsed="false">
      <c r="A976" s="31"/>
      <c r="B976" s="29"/>
      <c r="C976" s="29"/>
      <c r="D976" s="29"/>
      <c r="E976" s="39"/>
      <c r="F976" s="29"/>
      <c r="G976" s="38" t="str">
        <f aca="false">IF(A976="","",DATE(YEAR(A976),MONTH(A976),1))</f>
        <v/>
      </c>
    </row>
    <row r="977" customFormat="false" ht="15" hidden="false" customHeight="false" outlineLevel="0" collapsed="false">
      <c r="A977" s="31"/>
      <c r="B977" s="29"/>
      <c r="C977" s="29"/>
      <c r="D977" s="29"/>
      <c r="E977" s="39"/>
      <c r="F977" s="29"/>
      <c r="G977" s="38" t="str">
        <f aca="false">IF(A977="","",DATE(YEAR(A977),MONTH(A977),1))</f>
        <v/>
      </c>
    </row>
    <row r="978" customFormat="false" ht="15" hidden="false" customHeight="false" outlineLevel="0" collapsed="false">
      <c r="A978" s="31"/>
      <c r="B978" s="29"/>
      <c r="C978" s="29"/>
      <c r="D978" s="29"/>
      <c r="E978" s="39"/>
      <c r="F978" s="29"/>
      <c r="G978" s="38" t="str">
        <f aca="false">IF(A978="","",DATE(YEAR(A978),MONTH(A978),1))</f>
        <v/>
      </c>
    </row>
    <row r="979" customFormat="false" ht="15" hidden="false" customHeight="false" outlineLevel="0" collapsed="false">
      <c r="A979" s="31"/>
      <c r="B979" s="29"/>
      <c r="C979" s="29"/>
      <c r="D979" s="29"/>
      <c r="E979" s="39"/>
      <c r="F979" s="29"/>
      <c r="G979" s="38" t="str">
        <f aca="false">IF(A979="","",DATE(YEAR(A979),MONTH(A979),1))</f>
        <v/>
      </c>
    </row>
    <row r="980" customFormat="false" ht="15" hidden="false" customHeight="false" outlineLevel="0" collapsed="false">
      <c r="A980" s="31"/>
      <c r="B980" s="29"/>
      <c r="C980" s="29"/>
      <c r="D980" s="29"/>
      <c r="E980" s="39"/>
      <c r="F980" s="29"/>
      <c r="G980" s="38" t="str">
        <f aca="false">IF(A980="","",DATE(YEAR(A980),MONTH(A980),1))</f>
        <v/>
      </c>
    </row>
    <row r="981" customFormat="false" ht="15" hidden="false" customHeight="false" outlineLevel="0" collapsed="false">
      <c r="A981" s="31"/>
      <c r="B981" s="29"/>
      <c r="C981" s="29"/>
      <c r="D981" s="29"/>
      <c r="E981" s="39"/>
      <c r="F981" s="29"/>
      <c r="G981" s="38" t="str">
        <f aca="false">IF(A981="","",DATE(YEAR(A981),MONTH(A981),1))</f>
        <v/>
      </c>
    </row>
    <row r="982" customFormat="false" ht="15" hidden="false" customHeight="false" outlineLevel="0" collapsed="false">
      <c r="A982" s="31"/>
      <c r="B982" s="29"/>
      <c r="C982" s="29"/>
      <c r="D982" s="29"/>
      <c r="E982" s="39"/>
      <c r="F982" s="29"/>
      <c r="G982" s="38" t="str">
        <f aca="false">IF(A982="","",DATE(YEAR(A982),MONTH(A982),1))</f>
        <v/>
      </c>
    </row>
    <row r="983" customFormat="false" ht="15" hidden="false" customHeight="false" outlineLevel="0" collapsed="false">
      <c r="A983" s="31"/>
      <c r="B983" s="29"/>
      <c r="C983" s="29"/>
      <c r="D983" s="29"/>
      <c r="E983" s="39"/>
      <c r="F983" s="29"/>
      <c r="G983" s="38" t="str">
        <f aca="false">IF(A983="","",DATE(YEAR(A983),MONTH(A983),1))</f>
        <v/>
      </c>
    </row>
    <row r="984" customFormat="false" ht="15" hidden="false" customHeight="false" outlineLevel="0" collapsed="false">
      <c r="A984" s="31"/>
      <c r="B984" s="29"/>
      <c r="C984" s="29"/>
      <c r="D984" s="29"/>
      <c r="E984" s="39"/>
      <c r="F984" s="29"/>
      <c r="G984" s="38" t="str">
        <f aca="false">IF(A984="","",DATE(YEAR(A984),MONTH(A984),1))</f>
        <v/>
      </c>
    </row>
    <row r="985" customFormat="false" ht="15" hidden="false" customHeight="false" outlineLevel="0" collapsed="false">
      <c r="A985" s="31"/>
      <c r="B985" s="29"/>
      <c r="C985" s="29"/>
      <c r="D985" s="29"/>
      <c r="E985" s="39"/>
      <c r="F985" s="29"/>
      <c r="G985" s="38" t="str">
        <f aca="false">IF(A985="","",DATE(YEAR(A985),MONTH(A985),1))</f>
        <v/>
      </c>
    </row>
    <row r="986" customFormat="false" ht="15" hidden="false" customHeight="false" outlineLevel="0" collapsed="false">
      <c r="A986" s="31"/>
      <c r="B986" s="29"/>
      <c r="C986" s="29"/>
      <c r="D986" s="29"/>
      <c r="E986" s="39"/>
      <c r="F986" s="29"/>
      <c r="G986" s="38" t="str">
        <f aca="false">IF(A986="","",DATE(YEAR(A986),MONTH(A986),1))</f>
        <v/>
      </c>
    </row>
    <row r="987" customFormat="false" ht="15" hidden="false" customHeight="false" outlineLevel="0" collapsed="false">
      <c r="A987" s="31"/>
      <c r="B987" s="29"/>
      <c r="C987" s="29"/>
      <c r="D987" s="29"/>
      <c r="E987" s="39"/>
      <c r="F987" s="29"/>
      <c r="G987" s="38" t="str">
        <f aca="false">IF(A987="","",DATE(YEAR(A987),MONTH(A987),1))</f>
        <v/>
      </c>
    </row>
    <row r="988" customFormat="false" ht="15" hidden="false" customHeight="false" outlineLevel="0" collapsed="false">
      <c r="A988" s="31"/>
      <c r="B988" s="29"/>
      <c r="C988" s="29"/>
      <c r="D988" s="29"/>
      <c r="E988" s="39"/>
      <c r="F988" s="29"/>
      <c r="G988" s="38" t="str">
        <f aca="false">IF(A988="","",DATE(YEAR(A988),MONTH(A988),1))</f>
        <v/>
      </c>
    </row>
    <row r="989" customFormat="false" ht="15" hidden="false" customHeight="false" outlineLevel="0" collapsed="false">
      <c r="A989" s="31"/>
      <c r="B989" s="29"/>
      <c r="C989" s="29"/>
      <c r="D989" s="29"/>
      <c r="E989" s="39"/>
      <c r="F989" s="29"/>
      <c r="G989" s="38" t="str">
        <f aca="false">IF(A989="","",DATE(YEAR(A989),MONTH(A989),1))</f>
        <v/>
      </c>
    </row>
    <row r="990" customFormat="false" ht="15" hidden="false" customHeight="false" outlineLevel="0" collapsed="false">
      <c r="A990" s="31"/>
      <c r="B990" s="29"/>
      <c r="C990" s="29"/>
      <c r="D990" s="29"/>
      <c r="E990" s="39"/>
      <c r="F990" s="29"/>
      <c r="G990" s="38" t="str">
        <f aca="false">IF(A990="","",DATE(YEAR(A990),MONTH(A990),1))</f>
        <v/>
      </c>
    </row>
    <row r="991" customFormat="false" ht="15" hidden="false" customHeight="false" outlineLevel="0" collapsed="false">
      <c r="A991" s="31"/>
      <c r="B991" s="29"/>
      <c r="C991" s="29"/>
      <c r="D991" s="29"/>
      <c r="E991" s="39"/>
      <c r="F991" s="29"/>
      <c r="G991" s="38" t="str">
        <f aca="false">IF(A991="","",DATE(YEAR(A991),MONTH(A991),1))</f>
        <v/>
      </c>
    </row>
    <row r="992" customFormat="false" ht="15" hidden="false" customHeight="false" outlineLevel="0" collapsed="false">
      <c r="A992" s="31"/>
      <c r="B992" s="29"/>
      <c r="C992" s="29"/>
      <c r="D992" s="29"/>
      <c r="E992" s="39"/>
      <c r="F992" s="29"/>
      <c r="G992" s="38" t="str">
        <f aca="false">IF(A992="","",DATE(YEAR(A992),MONTH(A992),1))</f>
        <v/>
      </c>
    </row>
    <row r="993" customFormat="false" ht="15" hidden="false" customHeight="false" outlineLevel="0" collapsed="false">
      <c r="A993" s="31"/>
      <c r="B993" s="29"/>
      <c r="C993" s="29"/>
      <c r="D993" s="29"/>
      <c r="E993" s="39"/>
      <c r="F993" s="29"/>
      <c r="G993" s="38" t="str">
        <f aca="false">IF(A993="","",DATE(YEAR(A993),MONTH(A993),1))</f>
        <v/>
      </c>
    </row>
    <row r="994" customFormat="false" ht="15" hidden="false" customHeight="false" outlineLevel="0" collapsed="false">
      <c r="A994" s="31"/>
      <c r="B994" s="29"/>
      <c r="C994" s="29"/>
      <c r="D994" s="29"/>
      <c r="E994" s="39"/>
      <c r="F994" s="29"/>
      <c r="G994" s="38" t="str">
        <f aca="false">IF(A994="","",DATE(YEAR(A994),MONTH(A994),1))</f>
        <v/>
      </c>
    </row>
    <row r="995" customFormat="false" ht="15" hidden="false" customHeight="false" outlineLevel="0" collapsed="false">
      <c r="A995" s="31"/>
      <c r="B995" s="29"/>
      <c r="C995" s="29"/>
      <c r="D995" s="29"/>
      <c r="E995" s="39"/>
      <c r="F995" s="29"/>
      <c r="G995" s="38" t="str">
        <f aca="false">IF(A995="","",DATE(YEAR(A995),MONTH(A995),1))</f>
        <v/>
      </c>
    </row>
    <row r="996" customFormat="false" ht="15" hidden="false" customHeight="false" outlineLevel="0" collapsed="false">
      <c r="A996" s="31"/>
      <c r="B996" s="29"/>
      <c r="C996" s="29"/>
      <c r="D996" s="29"/>
      <c r="E996" s="39"/>
      <c r="F996" s="29"/>
      <c r="G996" s="38" t="str">
        <f aca="false">IF(A996="","",DATE(YEAR(A996),MONTH(A996),1))</f>
        <v/>
      </c>
    </row>
    <row r="997" customFormat="false" ht="15" hidden="false" customHeight="false" outlineLevel="0" collapsed="false">
      <c r="A997" s="31"/>
      <c r="B997" s="29"/>
      <c r="C997" s="29"/>
      <c r="D997" s="29"/>
      <c r="E997" s="39"/>
      <c r="F997" s="29"/>
      <c r="G997" s="38" t="str">
        <f aca="false">IF(A997="","",DATE(YEAR(A997),MONTH(A997),1))</f>
        <v/>
      </c>
    </row>
    <row r="998" customFormat="false" ht="15" hidden="false" customHeight="false" outlineLevel="0" collapsed="false">
      <c r="A998" s="31"/>
      <c r="B998" s="29"/>
      <c r="C998" s="29"/>
      <c r="D998" s="29"/>
      <c r="E998" s="39"/>
      <c r="F998" s="29"/>
      <c r="G998" s="38" t="str">
        <f aca="false">IF(A998="","",DATE(YEAR(A998),MONTH(A998),1))</f>
        <v/>
      </c>
    </row>
    <row r="999" customFormat="false" ht="15" hidden="false" customHeight="false" outlineLevel="0" collapsed="false">
      <c r="A999" s="31"/>
      <c r="B999" s="29"/>
      <c r="C999" s="29"/>
      <c r="D999" s="29"/>
      <c r="E999" s="39"/>
      <c r="F999" s="29"/>
      <c r="G999" s="38" t="str">
        <f aca="false">IF(A999="","",DATE(YEAR(A999),MONTH(A999),1))</f>
        <v/>
      </c>
    </row>
    <row r="1000" customFormat="false" ht="15" hidden="false" customHeight="false" outlineLevel="0" collapsed="false">
      <c r="A1000" s="31"/>
      <c r="B1000" s="29"/>
      <c r="C1000" s="29"/>
      <c r="D1000" s="29"/>
      <c r="E1000" s="39"/>
      <c r="F1000" s="29"/>
      <c r="G1000" s="38" t="str">
        <f aca="false">IF(A1000="","",DATE(YEAR(A1000),MONTH(A1000),1))</f>
        <v/>
      </c>
    </row>
    <row r="1001" customFormat="false" ht="15" hidden="false" customHeight="false" outlineLevel="0" collapsed="false">
      <c r="A1001" s="31"/>
      <c r="B1001" s="29"/>
      <c r="C1001" s="29"/>
      <c r="D1001" s="29"/>
      <c r="E1001" s="39"/>
      <c r="F1001" s="29"/>
      <c r="G1001" s="38" t="str">
        <f aca="false">IF(A1001="","",DATE(YEAR(A1001),MONTH(A1001),1))</f>
        <v/>
      </c>
    </row>
    <row r="1002" customFormat="false" ht="15" hidden="false" customHeight="false" outlineLevel="0" collapsed="false">
      <c r="A1002" s="31"/>
      <c r="B1002" s="29"/>
      <c r="C1002" s="29"/>
      <c r="D1002" s="29"/>
      <c r="E1002" s="39"/>
      <c r="F1002" s="29"/>
      <c r="G1002" s="38" t="str">
        <f aca="false">IF(A1002="","",DATE(YEAR(A1002),MONTH(A1002),1))</f>
        <v/>
      </c>
    </row>
    <row r="1003" customFormat="false" ht="15" hidden="false" customHeight="false" outlineLevel="0" collapsed="false">
      <c r="A1003" s="31"/>
      <c r="B1003" s="29"/>
      <c r="C1003" s="29"/>
      <c r="D1003" s="29"/>
      <c r="E1003" s="39"/>
      <c r="F1003" s="29"/>
      <c r="G1003" s="38" t="str">
        <f aca="false">IF(A1003="","",DATE(YEAR(A1003),MONTH(A1003),1))</f>
        <v/>
      </c>
    </row>
    <row r="1004" customFormat="false" ht="15" hidden="false" customHeight="false" outlineLevel="0" collapsed="false">
      <c r="A1004" s="31"/>
      <c r="B1004" s="29"/>
      <c r="C1004" s="29"/>
      <c r="D1004" s="29"/>
      <c r="E1004" s="39"/>
      <c r="F1004" s="29"/>
      <c r="G1004" s="38" t="str">
        <f aca="false">IF(A1004="","",DATE(YEAR(A1004),MONTH(A1004),1))</f>
        <v/>
      </c>
    </row>
  </sheetData>
  <dataValidations count="2">
    <dataValidation allowBlank="true" errorStyle="stop" operator="between" showDropDown="false" showErrorMessage="false" showInputMessage="false" sqref="C5:C1004" type="list">
      <formula1>Lists!$A$2:$A$13</formula1>
      <formula2>0</formula2>
    </dataValidation>
    <dataValidation allowBlank="true" errorStyle="stop" operator="between" showDropDown="false" showErrorMessage="false" showInputMessage="false" sqref="B5:B1004" type="list">
      <formula1>Lists!$B$2:$B$77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24"/>
  </cols>
  <sheetData>
    <row r="1" customFormat="false" ht="17.35" hidden="false" customHeight="false" outlineLevel="0" collapsed="false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4" t="s">
        <v>143</v>
      </c>
      <c r="B3" s="40" t="n">
        <f aca="false">Assumptions!$B$6</f>
        <v>46327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31.5" hidden="false" customHeight="true" outlineLevel="0" collapsed="false">
      <c r="A5" s="13" t="s">
        <v>93</v>
      </c>
      <c r="B5" s="13" t="s">
        <v>95</v>
      </c>
      <c r="C5" s="13" t="s">
        <v>144</v>
      </c>
      <c r="D5" s="13" t="s">
        <v>46</v>
      </c>
      <c r="E5" s="13" t="s">
        <v>47</v>
      </c>
      <c r="F5" s="13" t="s">
        <v>50</v>
      </c>
      <c r="G5" s="13" t="s">
        <v>51</v>
      </c>
      <c r="H5" s="13" t="s">
        <v>145</v>
      </c>
      <c r="I5" s="13" t="s">
        <v>146</v>
      </c>
      <c r="J5" s="13" t="s">
        <v>147</v>
      </c>
      <c r="K5" s="13" t="s">
        <v>148</v>
      </c>
      <c r="L5" s="13" t="s">
        <v>149</v>
      </c>
      <c r="M5" s="13" t="s">
        <v>150</v>
      </c>
      <c r="N5" s="13" t="s">
        <v>151</v>
      </c>
      <c r="O5" s="13" t="s">
        <v>152</v>
      </c>
    </row>
    <row r="6" customFormat="false" ht="15" hidden="false" customHeight="false" outlineLevel="0" collapsed="false">
      <c r="A6" s="41" t="str">
        <f aca="false">IF(Fleet!A5="","",Fleet!A5)</f>
        <v>CAR-01</v>
      </c>
      <c r="B6" s="41" t="str">
        <f aca="false">IF(Fleet!A5="","",Fleet!B5&amp;" "&amp;Fleet!C5)</f>
        <v>2022 Toyota Corolla LE</v>
      </c>
      <c r="C6" s="42" t="n">
        <f aca="false">IF($A6="","",IF(AND(Fleet!$A$5&lt;&gt;"",N(Fleet!$E$5)&lt;=EOMONTH($B$3,0),OR(Fleet!$F$5="",N(Fleet!$F$5)&gt;=$B$3)),1,0))</f>
        <v>1</v>
      </c>
      <c r="D6" s="43" t="n">
        <f aca="false">IF($A6="","",SUMIFS(Trips!$E$5:$E$1004,Trips!$B$5:$B$1004,$A6,Trips!$L$5:$L$1004,$B$3))</f>
        <v>15</v>
      </c>
      <c r="E6" s="44" t="n">
        <f aca="false">IF(OR($A6="",N(C6)=0),"",D6/DAY(EOMONTH($B$3,0)))</f>
        <v>0.5</v>
      </c>
      <c r="F6" s="45" t="n">
        <f aca="false">IF($A6="","",SUMIFS(Trips!$H$5:$H$1004,Trips!$B$5:$B$1004,$A6,Trips!$L$5:$L$1004,$B$3)+SUMIFS(Trips!$I$5:$I$1004,Trips!$B$5:$B$1004,$A6,Trips!$L$5:$L$1004,$B$3))</f>
        <v>745.2</v>
      </c>
      <c r="G6" s="45" t="n">
        <f aca="false">IF($A6="","",SUMIFS(Trips!$J$5:$J$1004,Trips!$B$5:$B$1004,$A6,Trips!$L$5:$L$1004,$B$3)+SUMIFS(Expenses!$E$5:$E$1004,Expenses!$B$5:$B$1004,$A6,Expenses!$G$5:$G$1004,$B$3))</f>
        <v>184</v>
      </c>
      <c r="H6" s="45" t="n">
        <f aca="false">IF($A6="","",Fleet!$O$5*C6)</f>
        <v>450</v>
      </c>
      <c r="I6" s="45" t="n">
        <f aca="false">IF($A6="","",F6-G6-H6)</f>
        <v>111.2</v>
      </c>
      <c r="J6" s="45" t="n">
        <f aca="false">IF($A6="","",(SUMIFS(Trips!$H$5:$H$1004,Trips!$B$5:$B$1004,$A6,Trips!$L$5:$L$1004,EDATE($B$3,-1))+SUMIFS(Trips!$I$5:$I$1004,Trips!$B$5:$B$1004,$A6,Trips!$L$5:$L$1004,EDATE($B$3,-1))-SUMIFS(Trips!$J$5:$J$1004,Trips!$B$5:$B$1004,$A6,Trips!$L$5:$L$1004,EDATE($B$3,-1))-SUMIFS(Expenses!$E$5:$E$1004,Expenses!$B$5:$B$1004,$A6,Expenses!$G$5:$G$1004,EDATE($B$3,-1))-Fleet!$O$5*IF(AND(Fleet!$A$5&lt;&gt;"",N(Fleet!$E$5)&lt;=EOMONTH(EDATE($B$3,-1),0),OR(Fleet!$F$5="",N(Fleet!$F$5)&gt;=EDATE($B$3,-1))),1,0)))</f>
        <v>0</v>
      </c>
      <c r="K6" s="45" t="n">
        <f aca="false">IF($A6="","",(SUMIFS(Trips!$H$5:$H$1004,Trips!$B$5:$B$1004,$A6,Trips!$L$5:$L$1004,EDATE($B$3,-2))+SUMIFS(Trips!$I$5:$I$1004,Trips!$B$5:$B$1004,$A6,Trips!$L$5:$L$1004,EDATE($B$3,-2))-SUMIFS(Trips!$J$5:$J$1004,Trips!$B$5:$B$1004,$A6,Trips!$L$5:$L$1004,EDATE($B$3,-2))-SUMIFS(Expenses!$E$5:$E$1004,Expenses!$B$5:$B$1004,$A6,Expenses!$G$5:$G$1004,EDATE($B$3,-2))-Fleet!$O$5*IF(AND(Fleet!$A$5&lt;&gt;"",N(Fleet!$E$5)&lt;=EOMONTH(EDATE($B$3,-2),0),OR(Fleet!$F$5="",N(Fleet!$F$5)&gt;=EDATE($B$3,-2))),1,0)))</f>
        <v>0</v>
      </c>
      <c r="L6" s="45" t="n">
        <f aca="false">IF($A6="","",SUMIFS(Trips!$M$5:$M$1004,Trips!$B$5:$B$1004,$A6,Trips!$L$5:$L$1004,"&lt;="&amp;$B$3)-SUMIFS(Expenses!$E$5:$E$1004,Expenses!$B$5:$B$1004,$A6,Expenses!$G$5:$G$1004,"&lt;="&amp;$B$3)-Fleet!$O$5*IF(N(Fleet!$E$5)=0,0,MAX(0,(YEAR(IF(Fleet!$F$5="",EOMONTH($B$3,0),MIN(Fleet!$F$5,EOMONTH($B$3,0))))-YEAR(Fleet!$E$5))*12+MONTH(IF(Fleet!$F$5="",EOMONTH($B$3,0),MIN(Fleet!$F$5,EOMONTH($B$3,0))))-MONTH(Fleet!$E$5)+1)))</f>
        <v>111.2</v>
      </c>
      <c r="M6" s="46" t="n">
        <f aca="false">IF($A6="","",Fleet!$H$5)</f>
        <v>3700</v>
      </c>
      <c r="N6" s="44" t="n">
        <f aca="false">IF(OR($A6="",N(M6)=0),"",L6/M6)</f>
        <v>0.0300540540540541</v>
      </c>
      <c r="O6" s="2" t="str">
        <f aca="false">IF(OR($A6="",N(C6)=0),"",IF(AND(I6&lt;0,J6&lt;0,K6&lt;0),"REVIEW: 3 losing months",IF(I6&lt;Assumptions!$B$9,"Below net target",IF(E6&lt;Assumptions!$B$8,"Low utilization","On track"))))</f>
        <v>Below net target</v>
      </c>
    </row>
    <row r="7" customFormat="false" ht="15" hidden="false" customHeight="false" outlineLevel="0" collapsed="false">
      <c r="A7" s="41" t="str">
        <f aca="false">IF(Fleet!A6="","",Fleet!A6)</f>
        <v>CAR-02</v>
      </c>
      <c r="B7" s="41" t="str">
        <f aca="false">IF(Fleet!A6="","",Fleet!B6&amp;" "&amp;Fleet!C6)</f>
        <v>2021 Toyota RAV4 Hybrid</v>
      </c>
      <c r="C7" s="42" t="n">
        <f aca="false">IF($A7="","",IF(AND(Fleet!$A$6&lt;&gt;"",N(Fleet!$E$6)&lt;=EOMONTH($B$3,0),OR(Fleet!$F$6="",N(Fleet!$F$6)&gt;=$B$3)),1,0))</f>
        <v>1</v>
      </c>
      <c r="D7" s="43" t="n">
        <f aca="false">IF($A7="","",SUMIFS(Trips!$E$5:$E$1004,Trips!$B$5:$B$1004,$A7,Trips!$L$5:$L$1004,$B$3))</f>
        <v>4</v>
      </c>
      <c r="E7" s="44" t="n">
        <f aca="false">IF(OR($A7="",N(C7)=0),"",D7/DAY(EOMONTH($B$3,0)))</f>
        <v>0.133333333333333</v>
      </c>
      <c r="F7" s="45" t="n">
        <f aca="false">IF($A7="","",SUMIFS(Trips!$H$5:$H$1004,Trips!$B$5:$B$1004,$A7,Trips!$L$5:$L$1004,$B$3)+SUMIFS(Trips!$I$5:$I$1004,Trips!$B$5:$B$1004,$A7,Trips!$L$5:$L$1004,$B$3))</f>
        <v>249.6</v>
      </c>
      <c r="G7" s="45" t="n">
        <f aca="false">IF($A7="","",SUMIFS(Trips!$J$5:$J$1004,Trips!$B$5:$B$1004,$A7,Trips!$L$5:$L$1004,$B$3)+SUMIFS(Expenses!$E$5:$E$1004,Expenses!$B$5:$B$1004,$A7,Expenses!$G$5:$G$1004,$B$3))</f>
        <v>35</v>
      </c>
      <c r="H7" s="45" t="n">
        <f aca="false">IF($A7="","",Fleet!$O$6*C7)</f>
        <v>515</v>
      </c>
      <c r="I7" s="45" t="n">
        <f aca="false">IF($A7="","",F7-G7-H7)</f>
        <v>-300.4</v>
      </c>
      <c r="J7" s="45" t="n">
        <f aca="false">IF($A7="","",(SUMIFS(Trips!$H$5:$H$1004,Trips!$B$5:$B$1004,$A7,Trips!$L$5:$L$1004,EDATE($B$3,-1))+SUMIFS(Trips!$I$5:$I$1004,Trips!$B$5:$B$1004,$A7,Trips!$L$5:$L$1004,EDATE($B$3,-1))-SUMIFS(Trips!$J$5:$J$1004,Trips!$B$5:$B$1004,$A7,Trips!$L$5:$L$1004,EDATE($B$3,-1))-SUMIFS(Expenses!$E$5:$E$1004,Expenses!$B$5:$B$1004,$A7,Expenses!$G$5:$G$1004,EDATE($B$3,-1))-Fleet!$O$6*IF(AND(Fleet!$A$6&lt;&gt;"",N(Fleet!$E$6)&lt;=EOMONTH(EDATE($B$3,-1),0),OR(Fleet!$F$6="",N(Fleet!$F$6)&gt;=EDATE($B$3,-1))),1,0)))</f>
        <v>0</v>
      </c>
      <c r="K7" s="45" t="n">
        <f aca="false">IF($A7="","",(SUMIFS(Trips!$H$5:$H$1004,Trips!$B$5:$B$1004,$A7,Trips!$L$5:$L$1004,EDATE($B$3,-2))+SUMIFS(Trips!$I$5:$I$1004,Trips!$B$5:$B$1004,$A7,Trips!$L$5:$L$1004,EDATE($B$3,-2))-SUMIFS(Trips!$J$5:$J$1004,Trips!$B$5:$B$1004,$A7,Trips!$L$5:$L$1004,EDATE($B$3,-2))-SUMIFS(Expenses!$E$5:$E$1004,Expenses!$B$5:$B$1004,$A7,Expenses!$G$5:$G$1004,EDATE($B$3,-2))-Fleet!$O$6*IF(AND(Fleet!$A$6&lt;&gt;"",N(Fleet!$E$6)&lt;=EOMONTH(EDATE($B$3,-2),0),OR(Fleet!$F$6="",N(Fleet!$F$6)&gt;=EDATE($B$3,-2))),1,0)))</f>
        <v>0</v>
      </c>
      <c r="L7" s="45" t="n">
        <f aca="false">IF($A7="","",SUMIFS(Trips!$M$5:$M$1004,Trips!$B$5:$B$1004,$A7,Trips!$L$5:$L$1004,"&lt;="&amp;$B$3)-SUMIFS(Expenses!$E$5:$E$1004,Expenses!$B$5:$B$1004,$A7,Expenses!$G$5:$G$1004,"&lt;="&amp;$B$3)-Fleet!$O$6*IF(N(Fleet!$E$6)=0,0,MAX(0,(YEAR(IF(Fleet!$F$6="",EOMONTH($B$3,0),MIN(Fleet!$F$6,EOMONTH($B$3,0))))-YEAR(Fleet!$E$6))*12+MONTH(IF(Fleet!$F$6="",EOMONTH($B$3,0),MIN(Fleet!$F$6,EOMONTH($B$3,0))))-MONTH(Fleet!$E$6)+1)))</f>
        <v>-300.4</v>
      </c>
      <c r="M7" s="46" t="n">
        <f aca="false">IF($A7="","",Fleet!$H$6)</f>
        <v>6000</v>
      </c>
      <c r="N7" s="44" t="n">
        <f aca="false">IF(OR($A7="",N(M7)=0),"",L7/M7)</f>
        <v>-0.0500666666666667</v>
      </c>
      <c r="O7" s="2" t="str">
        <f aca="false">IF(OR($A7="",N(C7)=0),"",IF(AND(I7&lt;0,J7&lt;0,K7&lt;0),"REVIEW: 3 losing months",IF(I7&lt;Assumptions!$B$9,"Below net target",IF(E7&lt;Assumptions!$B$8,"Low utilization","On track"))))</f>
        <v>Below net target</v>
      </c>
    </row>
    <row r="8" customFormat="false" ht="15" hidden="false" customHeight="false" outlineLevel="0" collapsed="false">
      <c r="A8" s="41" t="str">
        <f aca="false">IF(Fleet!A7="","",Fleet!A7)</f>
        <v/>
      </c>
      <c r="B8" s="41" t="str">
        <f aca="false">IF(Fleet!A7="","",Fleet!B7&amp;" "&amp;Fleet!C7)</f>
        <v/>
      </c>
      <c r="C8" s="42" t="str">
        <f aca="false">IF($A8="","",IF(AND(Fleet!$A$7&lt;&gt;"",N(Fleet!$E$7)&lt;=EOMONTH($B$3,0),OR(Fleet!$F$7="",N(Fleet!$F$7)&gt;=$B$3)),1,0))</f>
        <v/>
      </c>
      <c r="D8" s="43" t="str">
        <f aca="false">IF($A8="","",SUMIFS(Trips!$E$5:$E$1004,Trips!$B$5:$B$1004,$A8,Trips!$L$5:$L$1004,$B$3))</f>
        <v/>
      </c>
      <c r="E8" s="44" t="str">
        <f aca="false">IF(OR($A8="",N(C8)=0),"",D8/DAY(EOMONTH($B$3,0)))</f>
        <v/>
      </c>
      <c r="F8" s="45" t="str">
        <f aca="false">IF($A8="","",SUMIFS(Trips!$H$5:$H$1004,Trips!$B$5:$B$1004,$A8,Trips!$L$5:$L$1004,$B$3)+SUMIFS(Trips!$I$5:$I$1004,Trips!$B$5:$B$1004,$A8,Trips!$L$5:$L$1004,$B$3))</f>
        <v/>
      </c>
      <c r="G8" s="45" t="str">
        <f aca="false">IF($A8="","",SUMIFS(Trips!$J$5:$J$1004,Trips!$B$5:$B$1004,$A8,Trips!$L$5:$L$1004,$B$3)+SUMIFS(Expenses!$E$5:$E$1004,Expenses!$B$5:$B$1004,$A8,Expenses!$G$5:$G$1004,$B$3))</f>
        <v/>
      </c>
      <c r="H8" s="45" t="str">
        <f aca="false">IF($A8="","",Fleet!$O$7*C8)</f>
        <v/>
      </c>
      <c r="I8" s="45" t="str">
        <f aca="false">IF($A8="","",F8-G8-H8)</f>
        <v/>
      </c>
      <c r="J8" s="45" t="str">
        <f aca="false">IF($A8="","",(SUMIFS(Trips!$H$5:$H$1004,Trips!$B$5:$B$1004,$A8,Trips!$L$5:$L$1004,EDATE($B$3,-1))+SUMIFS(Trips!$I$5:$I$1004,Trips!$B$5:$B$1004,$A8,Trips!$L$5:$L$1004,EDATE($B$3,-1))-SUMIFS(Trips!$J$5:$J$1004,Trips!$B$5:$B$1004,$A8,Trips!$L$5:$L$1004,EDATE($B$3,-1))-SUMIFS(Expenses!$E$5:$E$1004,Expenses!$B$5:$B$1004,$A8,Expenses!$G$5:$G$1004,EDATE($B$3,-1))-Fleet!$O$7*IF(AND(Fleet!$A$7&lt;&gt;"",N(Fleet!$E$7)&lt;=EOMONTH(EDATE($B$3,-1),0),OR(Fleet!$F$7="",N(Fleet!$F$7)&gt;=EDATE($B$3,-1))),1,0)))</f>
        <v/>
      </c>
      <c r="K8" s="45" t="str">
        <f aca="false">IF($A8="","",(SUMIFS(Trips!$H$5:$H$1004,Trips!$B$5:$B$1004,$A8,Trips!$L$5:$L$1004,EDATE($B$3,-2))+SUMIFS(Trips!$I$5:$I$1004,Trips!$B$5:$B$1004,$A8,Trips!$L$5:$L$1004,EDATE($B$3,-2))-SUMIFS(Trips!$J$5:$J$1004,Trips!$B$5:$B$1004,$A8,Trips!$L$5:$L$1004,EDATE($B$3,-2))-SUMIFS(Expenses!$E$5:$E$1004,Expenses!$B$5:$B$1004,$A8,Expenses!$G$5:$G$1004,EDATE($B$3,-2))-Fleet!$O$7*IF(AND(Fleet!$A$7&lt;&gt;"",N(Fleet!$E$7)&lt;=EOMONTH(EDATE($B$3,-2),0),OR(Fleet!$F$7="",N(Fleet!$F$7)&gt;=EDATE($B$3,-2))),1,0)))</f>
        <v/>
      </c>
      <c r="L8" s="45" t="str">
        <f aca="false">IF($A8="","",SUMIFS(Trips!$M$5:$M$1004,Trips!$B$5:$B$1004,$A8,Trips!$L$5:$L$1004,"&lt;="&amp;$B$3)-SUMIFS(Expenses!$E$5:$E$1004,Expenses!$B$5:$B$1004,$A8,Expenses!$G$5:$G$1004,"&lt;="&amp;$B$3)-Fleet!$O$7*IF(N(Fleet!$E$7)=0,0,MAX(0,(YEAR(IF(Fleet!$F$7="",EOMONTH($B$3,0),MIN(Fleet!$F$7,EOMONTH($B$3,0))))-YEAR(Fleet!$E$7))*12+MONTH(IF(Fleet!$F$7="",EOMONTH($B$3,0),MIN(Fleet!$F$7,EOMONTH($B$3,0))))-MONTH(Fleet!$E$7)+1)))</f>
        <v/>
      </c>
      <c r="M8" s="46" t="str">
        <f aca="false">IF($A8="","",Fleet!$H$7)</f>
        <v/>
      </c>
      <c r="N8" s="44" t="str">
        <f aca="false">IF(OR($A8="",N(M8)=0),"",L8/M8)</f>
        <v/>
      </c>
      <c r="O8" s="2" t="str">
        <f aca="false">IF(OR($A8="",N(C8)=0),"",IF(AND(I8&lt;0,J8&lt;0,K8&lt;0),"REVIEW: 3 losing months",IF(I8&lt;Assumptions!$B$9,"Below net target",IF(E8&lt;Assumptions!$B$8,"Low utilization","On track"))))</f>
        <v/>
      </c>
    </row>
    <row r="9" customFormat="false" ht="15" hidden="false" customHeight="false" outlineLevel="0" collapsed="false">
      <c r="A9" s="41" t="str">
        <f aca="false">IF(Fleet!A8="","",Fleet!A8)</f>
        <v/>
      </c>
      <c r="B9" s="41" t="str">
        <f aca="false">IF(Fleet!A8="","",Fleet!B8&amp;" "&amp;Fleet!C8)</f>
        <v/>
      </c>
      <c r="C9" s="42" t="str">
        <f aca="false">IF($A9="","",IF(AND(Fleet!$A$8&lt;&gt;"",N(Fleet!$E$8)&lt;=EOMONTH($B$3,0),OR(Fleet!$F$8="",N(Fleet!$F$8)&gt;=$B$3)),1,0))</f>
        <v/>
      </c>
      <c r="D9" s="43" t="str">
        <f aca="false">IF($A9="","",SUMIFS(Trips!$E$5:$E$1004,Trips!$B$5:$B$1004,$A9,Trips!$L$5:$L$1004,$B$3))</f>
        <v/>
      </c>
      <c r="E9" s="44" t="str">
        <f aca="false">IF(OR($A9="",N(C9)=0),"",D9/DAY(EOMONTH($B$3,0)))</f>
        <v/>
      </c>
      <c r="F9" s="45" t="str">
        <f aca="false">IF($A9="","",SUMIFS(Trips!$H$5:$H$1004,Trips!$B$5:$B$1004,$A9,Trips!$L$5:$L$1004,$B$3)+SUMIFS(Trips!$I$5:$I$1004,Trips!$B$5:$B$1004,$A9,Trips!$L$5:$L$1004,$B$3))</f>
        <v/>
      </c>
      <c r="G9" s="45" t="str">
        <f aca="false">IF($A9="","",SUMIFS(Trips!$J$5:$J$1004,Trips!$B$5:$B$1004,$A9,Trips!$L$5:$L$1004,$B$3)+SUMIFS(Expenses!$E$5:$E$1004,Expenses!$B$5:$B$1004,$A9,Expenses!$G$5:$G$1004,$B$3))</f>
        <v/>
      </c>
      <c r="H9" s="45" t="str">
        <f aca="false">IF($A9="","",Fleet!$O$8*C9)</f>
        <v/>
      </c>
      <c r="I9" s="45" t="str">
        <f aca="false">IF($A9="","",F9-G9-H9)</f>
        <v/>
      </c>
      <c r="J9" s="45" t="str">
        <f aca="false">IF($A9="","",(SUMIFS(Trips!$H$5:$H$1004,Trips!$B$5:$B$1004,$A9,Trips!$L$5:$L$1004,EDATE($B$3,-1))+SUMIFS(Trips!$I$5:$I$1004,Trips!$B$5:$B$1004,$A9,Trips!$L$5:$L$1004,EDATE($B$3,-1))-SUMIFS(Trips!$J$5:$J$1004,Trips!$B$5:$B$1004,$A9,Trips!$L$5:$L$1004,EDATE($B$3,-1))-SUMIFS(Expenses!$E$5:$E$1004,Expenses!$B$5:$B$1004,$A9,Expenses!$G$5:$G$1004,EDATE($B$3,-1))-Fleet!$O$8*IF(AND(Fleet!$A$8&lt;&gt;"",N(Fleet!$E$8)&lt;=EOMONTH(EDATE($B$3,-1),0),OR(Fleet!$F$8="",N(Fleet!$F$8)&gt;=EDATE($B$3,-1))),1,0)))</f>
        <v/>
      </c>
      <c r="K9" s="45" t="str">
        <f aca="false">IF($A9="","",(SUMIFS(Trips!$H$5:$H$1004,Trips!$B$5:$B$1004,$A9,Trips!$L$5:$L$1004,EDATE($B$3,-2))+SUMIFS(Trips!$I$5:$I$1004,Trips!$B$5:$B$1004,$A9,Trips!$L$5:$L$1004,EDATE($B$3,-2))-SUMIFS(Trips!$J$5:$J$1004,Trips!$B$5:$B$1004,$A9,Trips!$L$5:$L$1004,EDATE($B$3,-2))-SUMIFS(Expenses!$E$5:$E$1004,Expenses!$B$5:$B$1004,$A9,Expenses!$G$5:$G$1004,EDATE($B$3,-2))-Fleet!$O$8*IF(AND(Fleet!$A$8&lt;&gt;"",N(Fleet!$E$8)&lt;=EOMONTH(EDATE($B$3,-2),0),OR(Fleet!$F$8="",N(Fleet!$F$8)&gt;=EDATE($B$3,-2))),1,0)))</f>
        <v/>
      </c>
      <c r="L9" s="45" t="str">
        <f aca="false">IF($A9="","",SUMIFS(Trips!$M$5:$M$1004,Trips!$B$5:$B$1004,$A9,Trips!$L$5:$L$1004,"&lt;="&amp;$B$3)-SUMIFS(Expenses!$E$5:$E$1004,Expenses!$B$5:$B$1004,$A9,Expenses!$G$5:$G$1004,"&lt;="&amp;$B$3)-Fleet!$O$8*IF(N(Fleet!$E$8)=0,0,MAX(0,(YEAR(IF(Fleet!$F$8="",EOMONTH($B$3,0),MIN(Fleet!$F$8,EOMONTH($B$3,0))))-YEAR(Fleet!$E$8))*12+MONTH(IF(Fleet!$F$8="",EOMONTH($B$3,0),MIN(Fleet!$F$8,EOMONTH($B$3,0))))-MONTH(Fleet!$E$8)+1)))</f>
        <v/>
      </c>
      <c r="M9" s="46" t="str">
        <f aca="false">IF($A9="","",Fleet!$H$8)</f>
        <v/>
      </c>
      <c r="N9" s="44" t="str">
        <f aca="false">IF(OR($A9="",N(M9)=0),"",L9/M9)</f>
        <v/>
      </c>
      <c r="O9" s="2" t="str">
        <f aca="false">IF(OR($A9="",N(C9)=0),"",IF(AND(I9&lt;0,J9&lt;0,K9&lt;0),"REVIEW: 3 losing months",IF(I9&lt;Assumptions!$B$9,"Below net target",IF(E9&lt;Assumptions!$B$8,"Low utilization","On track"))))</f>
        <v/>
      </c>
    </row>
    <row r="10" customFormat="false" ht="15" hidden="false" customHeight="false" outlineLevel="0" collapsed="false">
      <c r="A10" s="41" t="str">
        <f aca="false">IF(Fleet!A9="","",Fleet!A9)</f>
        <v/>
      </c>
      <c r="B10" s="41" t="str">
        <f aca="false">IF(Fleet!A9="","",Fleet!B9&amp;" "&amp;Fleet!C9)</f>
        <v/>
      </c>
      <c r="C10" s="42" t="str">
        <f aca="false">IF($A10="","",IF(AND(Fleet!$A$9&lt;&gt;"",N(Fleet!$E$9)&lt;=EOMONTH($B$3,0),OR(Fleet!$F$9="",N(Fleet!$F$9)&gt;=$B$3)),1,0))</f>
        <v/>
      </c>
      <c r="D10" s="43" t="str">
        <f aca="false">IF($A10="","",SUMIFS(Trips!$E$5:$E$1004,Trips!$B$5:$B$1004,$A10,Trips!$L$5:$L$1004,$B$3))</f>
        <v/>
      </c>
      <c r="E10" s="44" t="str">
        <f aca="false">IF(OR($A10="",N(C10)=0),"",D10/DAY(EOMONTH($B$3,0)))</f>
        <v/>
      </c>
      <c r="F10" s="45" t="str">
        <f aca="false">IF($A10="","",SUMIFS(Trips!$H$5:$H$1004,Trips!$B$5:$B$1004,$A10,Trips!$L$5:$L$1004,$B$3)+SUMIFS(Trips!$I$5:$I$1004,Trips!$B$5:$B$1004,$A10,Trips!$L$5:$L$1004,$B$3))</f>
        <v/>
      </c>
      <c r="G10" s="45" t="str">
        <f aca="false">IF($A10="","",SUMIFS(Trips!$J$5:$J$1004,Trips!$B$5:$B$1004,$A10,Trips!$L$5:$L$1004,$B$3)+SUMIFS(Expenses!$E$5:$E$1004,Expenses!$B$5:$B$1004,$A10,Expenses!$G$5:$G$1004,$B$3))</f>
        <v/>
      </c>
      <c r="H10" s="45" t="str">
        <f aca="false">IF($A10="","",Fleet!$O$9*C10)</f>
        <v/>
      </c>
      <c r="I10" s="45" t="str">
        <f aca="false">IF($A10="","",F10-G10-H10)</f>
        <v/>
      </c>
      <c r="J10" s="45" t="str">
        <f aca="false">IF($A10="","",(SUMIFS(Trips!$H$5:$H$1004,Trips!$B$5:$B$1004,$A10,Trips!$L$5:$L$1004,EDATE($B$3,-1))+SUMIFS(Trips!$I$5:$I$1004,Trips!$B$5:$B$1004,$A10,Trips!$L$5:$L$1004,EDATE($B$3,-1))-SUMIFS(Trips!$J$5:$J$1004,Trips!$B$5:$B$1004,$A10,Trips!$L$5:$L$1004,EDATE($B$3,-1))-SUMIFS(Expenses!$E$5:$E$1004,Expenses!$B$5:$B$1004,$A10,Expenses!$G$5:$G$1004,EDATE($B$3,-1))-Fleet!$O$9*IF(AND(Fleet!$A$9&lt;&gt;"",N(Fleet!$E$9)&lt;=EOMONTH(EDATE($B$3,-1),0),OR(Fleet!$F$9="",N(Fleet!$F$9)&gt;=EDATE($B$3,-1))),1,0)))</f>
        <v/>
      </c>
      <c r="K10" s="45" t="str">
        <f aca="false">IF($A10="","",(SUMIFS(Trips!$H$5:$H$1004,Trips!$B$5:$B$1004,$A10,Trips!$L$5:$L$1004,EDATE($B$3,-2))+SUMIFS(Trips!$I$5:$I$1004,Trips!$B$5:$B$1004,$A10,Trips!$L$5:$L$1004,EDATE($B$3,-2))-SUMIFS(Trips!$J$5:$J$1004,Trips!$B$5:$B$1004,$A10,Trips!$L$5:$L$1004,EDATE($B$3,-2))-SUMIFS(Expenses!$E$5:$E$1004,Expenses!$B$5:$B$1004,$A10,Expenses!$G$5:$G$1004,EDATE($B$3,-2))-Fleet!$O$9*IF(AND(Fleet!$A$9&lt;&gt;"",N(Fleet!$E$9)&lt;=EOMONTH(EDATE($B$3,-2),0),OR(Fleet!$F$9="",N(Fleet!$F$9)&gt;=EDATE($B$3,-2))),1,0)))</f>
        <v/>
      </c>
      <c r="L10" s="45" t="str">
        <f aca="false">IF($A10="","",SUMIFS(Trips!$M$5:$M$1004,Trips!$B$5:$B$1004,$A10,Trips!$L$5:$L$1004,"&lt;="&amp;$B$3)-SUMIFS(Expenses!$E$5:$E$1004,Expenses!$B$5:$B$1004,$A10,Expenses!$G$5:$G$1004,"&lt;="&amp;$B$3)-Fleet!$O$9*IF(N(Fleet!$E$9)=0,0,MAX(0,(YEAR(IF(Fleet!$F$9="",EOMONTH($B$3,0),MIN(Fleet!$F$9,EOMONTH($B$3,0))))-YEAR(Fleet!$E$9))*12+MONTH(IF(Fleet!$F$9="",EOMONTH($B$3,0),MIN(Fleet!$F$9,EOMONTH($B$3,0))))-MONTH(Fleet!$E$9)+1)))</f>
        <v/>
      </c>
      <c r="M10" s="46" t="str">
        <f aca="false">IF($A10="","",Fleet!$H$9)</f>
        <v/>
      </c>
      <c r="N10" s="44" t="str">
        <f aca="false">IF(OR($A10="",N(M10)=0),"",L10/M10)</f>
        <v/>
      </c>
      <c r="O10" s="2" t="str">
        <f aca="false">IF(OR($A10="",N(C10)=0),"",IF(AND(I10&lt;0,J10&lt;0,K10&lt;0),"REVIEW: 3 losing months",IF(I10&lt;Assumptions!$B$9,"Below net target",IF(E10&lt;Assumptions!$B$8,"Low utilization","On track"))))</f>
        <v/>
      </c>
    </row>
    <row r="11" customFormat="false" ht="15" hidden="false" customHeight="false" outlineLevel="0" collapsed="false">
      <c r="A11" s="41" t="str">
        <f aca="false">IF(Fleet!A10="","",Fleet!A10)</f>
        <v/>
      </c>
      <c r="B11" s="41" t="str">
        <f aca="false">IF(Fleet!A10="","",Fleet!B10&amp;" "&amp;Fleet!C10)</f>
        <v/>
      </c>
      <c r="C11" s="42" t="str">
        <f aca="false">IF($A11="","",IF(AND(Fleet!$A$10&lt;&gt;"",N(Fleet!$E$10)&lt;=EOMONTH($B$3,0),OR(Fleet!$F$10="",N(Fleet!$F$10)&gt;=$B$3)),1,0))</f>
        <v/>
      </c>
      <c r="D11" s="43" t="str">
        <f aca="false">IF($A11="","",SUMIFS(Trips!$E$5:$E$1004,Trips!$B$5:$B$1004,$A11,Trips!$L$5:$L$1004,$B$3))</f>
        <v/>
      </c>
      <c r="E11" s="44" t="str">
        <f aca="false">IF(OR($A11="",N(C11)=0),"",D11/DAY(EOMONTH($B$3,0)))</f>
        <v/>
      </c>
      <c r="F11" s="45" t="str">
        <f aca="false">IF($A11="","",SUMIFS(Trips!$H$5:$H$1004,Trips!$B$5:$B$1004,$A11,Trips!$L$5:$L$1004,$B$3)+SUMIFS(Trips!$I$5:$I$1004,Trips!$B$5:$B$1004,$A11,Trips!$L$5:$L$1004,$B$3))</f>
        <v/>
      </c>
      <c r="G11" s="45" t="str">
        <f aca="false">IF($A11="","",SUMIFS(Trips!$J$5:$J$1004,Trips!$B$5:$B$1004,$A11,Trips!$L$5:$L$1004,$B$3)+SUMIFS(Expenses!$E$5:$E$1004,Expenses!$B$5:$B$1004,$A11,Expenses!$G$5:$G$1004,$B$3))</f>
        <v/>
      </c>
      <c r="H11" s="45" t="str">
        <f aca="false">IF($A11="","",Fleet!$O$10*C11)</f>
        <v/>
      </c>
      <c r="I11" s="45" t="str">
        <f aca="false">IF($A11="","",F11-G11-H11)</f>
        <v/>
      </c>
      <c r="J11" s="45" t="str">
        <f aca="false">IF($A11="","",(SUMIFS(Trips!$H$5:$H$1004,Trips!$B$5:$B$1004,$A11,Trips!$L$5:$L$1004,EDATE($B$3,-1))+SUMIFS(Trips!$I$5:$I$1004,Trips!$B$5:$B$1004,$A11,Trips!$L$5:$L$1004,EDATE($B$3,-1))-SUMIFS(Trips!$J$5:$J$1004,Trips!$B$5:$B$1004,$A11,Trips!$L$5:$L$1004,EDATE($B$3,-1))-SUMIFS(Expenses!$E$5:$E$1004,Expenses!$B$5:$B$1004,$A11,Expenses!$G$5:$G$1004,EDATE($B$3,-1))-Fleet!$O$10*IF(AND(Fleet!$A$10&lt;&gt;"",N(Fleet!$E$10)&lt;=EOMONTH(EDATE($B$3,-1),0),OR(Fleet!$F$10="",N(Fleet!$F$10)&gt;=EDATE($B$3,-1))),1,0)))</f>
        <v/>
      </c>
      <c r="K11" s="45" t="str">
        <f aca="false">IF($A11="","",(SUMIFS(Trips!$H$5:$H$1004,Trips!$B$5:$B$1004,$A11,Trips!$L$5:$L$1004,EDATE($B$3,-2))+SUMIFS(Trips!$I$5:$I$1004,Trips!$B$5:$B$1004,$A11,Trips!$L$5:$L$1004,EDATE($B$3,-2))-SUMIFS(Trips!$J$5:$J$1004,Trips!$B$5:$B$1004,$A11,Trips!$L$5:$L$1004,EDATE($B$3,-2))-SUMIFS(Expenses!$E$5:$E$1004,Expenses!$B$5:$B$1004,$A11,Expenses!$G$5:$G$1004,EDATE($B$3,-2))-Fleet!$O$10*IF(AND(Fleet!$A$10&lt;&gt;"",N(Fleet!$E$10)&lt;=EOMONTH(EDATE($B$3,-2),0),OR(Fleet!$F$10="",N(Fleet!$F$10)&gt;=EDATE($B$3,-2))),1,0)))</f>
        <v/>
      </c>
      <c r="L11" s="45" t="str">
        <f aca="false">IF($A11="","",SUMIFS(Trips!$M$5:$M$1004,Trips!$B$5:$B$1004,$A11,Trips!$L$5:$L$1004,"&lt;="&amp;$B$3)-SUMIFS(Expenses!$E$5:$E$1004,Expenses!$B$5:$B$1004,$A11,Expenses!$G$5:$G$1004,"&lt;="&amp;$B$3)-Fleet!$O$10*IF(N(Fleet!$E$10)=0,0,MAX(0,(YEAR(IF(Fleet!$F$10="",EOMONTH($B$3,0),MIN(Fleet!$F$10,EOMONTH($B$3,0))))-YEAR(Fleet!$E$10))*12+MONTH(IF(Fleet!$F$10="",EOMONTH($B$3,0),MIN(Fleet!$F$10,EOMONTH($B$3,0))))-MONTH(Fleet!$E$10)+1)))</f>
        <v/>
      </c>
      <c r="M11" s="46" t="str">
        <f aca="false">IF($A11="","",Fleet!$H$10)</f>
        <v/>
      </c>
      <c r="N11" s="44" t="str">
        <f aca="false">IF(OR($A11="",N(M11)=0),"",L11/M11)</f>
        <v/>
      </c>
      <c r="O11" s="2" t="str">
        <f aca="false">IF(OR($A11="",N(C11)=0),"",IF(AND(I11&lt;0,J11&lt;0,K11&lt;0),"REVIEW: 3 losing months",IF(I11&lt;Assumptions!$B$9,"Below net target",IF(E11&lt;Assumptions!$B$8,"Low utilization","On track"))))</f>
        <v/>
      </c>
    </row>
    <row r="12" customFormat="false" ht="15" hidden="false" customHeight="false" outlineLevel="0" collapsed="false">
      <c r="A12" s="41" t="str">
        <f aca="false">IF(Fleet!A11="","",Fleet!A11)</f>
        <v/>
      </c>
      <c r="B12" s="41" t="str">
        <f aca="false">IF(Fleet!A11="","",Fleet!B11&amp;" "&amp;Fleet!C11)</f>
        <v/>
      </c>
      <c r="C12" s="42" t="str">
        <f aca="false">IF($A12="","",IF(AND(Fleet!$A$11&lt;&gt;"",N(Fleet!$E$11)&lt;=EOMONTH($B$3,0),OR(Fleet!$F$11="",N(Fleet!$F$11)&gt;=$B$3)),1,0))</f>
        <v/>
      </c>
      <c r="D12" s="43" t="str">
        <f aca="false">IF($A12="","",SUMIFS(Trips!$E$5:$E$1004,Trips!$B$5:$B$1004,$A12,Trips!$L$5:$L$1004,$B$3))</f>
        <v/>
      </c>
      <c r="E12" s="44" t="str">
        <f aca="false">IF(OR($A12="",N(C12)=0),"",D12/DAY(EOMONTH($B$3,0)))</f>
        <v/>
      </c>
      <c r="F12" s="45" t="str">
        <f aca="false">IF($A12="","",SUMIFS(Trips!$H$5:$H$1004,Trips!$B$5:$B$1004,$A12,Trips!$L$5:$L$1004,$B$3)+SUMIFS(Trips!$I$5:$I$1004,Trips!$B$5:$B$1004,$A12,Trips!$L$5:$L$1004,$B$3))</f>
        <v/>
      </c>
      <c r="G12" s="45" t="str">
        <f aca="false">IF($A12="","",SUMIFS(Trips!$J$5:$J$1004,Trips!$B$5:$B$1004,$A12,Trips!$L$5:$L$1004,$B$3)+SUMIFS(Expenses!$E$5:$E$1004,Expenses!$B$5:$B$1004,$A12,Expenses!$G$5:$G$1004,$B$3))</f>
        <v/>
      </c>
      <c r="H12" s="45" t="str">
        <f aca="false">IF($A12="","",Fleet!$O$11*C12)</f>
        <v/>
      </c>
      <c r="I12" s="45" t="str">
        <f aca="false">IF($A12="","",F12-G12-H12)</f>
        <v/>
      </c>
      <c r="J12" s="45" t="str">
        <f aca="false">IF($A12="","",(SUMIFS(Trips!$H$5:$H$1004,Trips!$B$5:$B$1004,$A12,Trips!$L$5:$L$1004,EDATE($B$3,-1))+SUMIFS(Trips!$I$5:$I$1004,Trips!$B$5:$B$1004,$A12,Trips!$L$5:$L$1004,EDATE($B$3,-1))-SUMIFS(Trips!$J$5:$J$1004,Trips!$B$5:$B$1004,$A12,Trips!$L$5:$L$1004,EDATE($B$3,-1))-SUMIFS(Expenses!$E$5:$E$1004,Expenses!$B$5:$B$1004,$A12,Expenses!$G$5:$G$1004,EDATE($B$3,-1))-Fleet!$O$11*IF(AND(Fleet!$A$11&lt;&gt;"",N(Fleet!$E$11)&lt;=EOMONTH(EDATE($B$3,-1),0),OR(Fleet!$F$11="",N(Fleet!$F$11)&gt;=EDATE($B$3,-1))),1,0)))</f>
        <v/>
      </c>
      <c r="K12" s="45" t="str">
        <f aca="false">IF($A12="","",(SUMIFS(Trips!$H$5:$H$1004,Trips!$B$5:$B$1004,$A12,Trips!$L$5:$L$1004,EDATE($B$3,-2))+SUMIFS(Trips!$I$5:$I$1004,Trips!$B$5:$B$1004,$A12,Trips!$L$5:$L$1004,EDATE($B$3,-2))-SUMIFS(Trips!$J$5:$J$1004,Trips!$B$5:$B$1004,$A12,Trips!$L$5:$L$1004,EDATE($B$3,-2))-SUMIFS(Expenses!$E$5:$E$1004,Expenses!$B$5:$B$1004,$A12,Expenses!$G$5:$G$1004,EDATE($B$3,-2))-Fleet!$O$11*IF(AND(Fleet!$A$11&lt;&gt;"",N(Fleet!$E$11)&lt;=EOMONTH(EDATE($B$3,-2),0),OR(Fleet!$F$11="",N(Fleet!$F$11)&gt;=EDATE($B$3,-2))),1,0)))</f>
        <v/>
      </c>
      <c r="L12" s="45" t="str">
        <f aca="false">IF($A12="","",SUMIFS(Trips!$M$5:$M$1004,Trips!$B$5:$B$1004,$A12,Trips!$L$5:$L$1004,"&lt;="&amp;$B$3)-SUMIFS(Expenses!$E$5:$E$1004,Expenses!$B$5:$B$1004,$A12,Expenses!$G$5:$G$1004,"&lt;="&amp;$B$3)-Fleet!$O$11*IF(N(Fleet!$E$11)=0,0,MAX(0,(YEAR(IF(Fleet!$F$11="",EOMONTH($B$3,0),MIN(Fleet!$F$11,EOMONTH($B$3,0))))-YEAR(Fleet!$E$11))*12+MONTH(IF(Fleet!$F$11="",EOMONTH($B$3,0),MIN(Fleet!$F$11,EOMONTH($B$3,0))))-MONTH(Fleet!$E$11)+1)))</f>
        <v/>
      </c>
      <c r="M12" s="46" t="str">
        <f aca="false">IF($A12="","",Fleet!$H$11)</f>
        <v/>
      </c>
      <c r="N12" s="44" t="str">
        <f aca="false">IF(OR($A12="",N(M12)=0),"",L12/M12)</f>
        <v/>
      </c>
      <c r="O12" s="2" t="str">
        <f aca="false">IF(OR($A12="",N(C12)=0),"",IF(AND(I12&lt;0,J12&lt;0,K12&lt;0),"REVIEW: 3 losing months",IF(I12&lt;Assumptions!$B$9,"Below net target",IF(E12&lt;Assumptions!$B$8,"Low utilization","On track"))))</f>
        <v/>
      </c>
    </row>
    <row r="13" customFormat="false" ht="15" hidden="false" customHeight="false" outlineLevel="0" collapsed="false">
      <c r="A13" s="41" t="str">
        <f aca="false">IF(Fleet!A12="","",Fleet!A12)</f>
        <v/>
      </c>
      <c r="B13" s="41" t="str">
        <f aca="false">IF(Fleet!A12="","",Fleet!B12&amp;" "&amp;Fleet!C12)</f>
        <v/>
      </c>
      <c r="C13" s="42" t="str">
        <f aca="false">IF($A13="","",IF(AND(Fleet!$A$12&lt;&gt;"",N(Fleet!$E$12)&lt;=EOMONTH($B$3,0),OR(Fleet!$F$12="",N(Fleet!$F$12)&gt;=$B$3)),1,0))</f>
        <v/>
      </c>
      <c r="D13" s="43" t="str">
        <f aca="false">IF($A13="","",SUMIFS(Trips!$E$5:$E$1004,Trips!$B$5:$B$1004,$A13,Trips!$L$5:$L$1004,$B$3))</f>
        <v/>
      </c>
      <c r="E13" s="44" t="str">
        <f aca="false">IF(OR($A13="",N(C13)=0),"",D13/DAY(EOMONTH($B$3,0)))</f>
        <v/>
      </c>
      <c r="F13" s="45" t="str">
        <f aca="false">IF($A13="","",SUMIFS(Trips!$H$5:$H$1004,Trips!$B$5:$B$1004,$A13,Trips!$L$5:$L$1004,$B$3)+SUMIFS(Trips!$I$5:$I$1004,Trips!$B$5:$B$1004,$A13,Trips!$L$5:$L$1004,$B$3))</f>
        <v/>
      </c>
      <c r="G13" s="45" t="str">
        <f aca="false">IF($A13="","",SUMIFS(Trips!$J$5:$J$1004,Trips!$B$5:$B$1004,$A13,Trips!$L$5:$L$1004,$B$3)+SUMIFS(Expenses!$E$5:$E$1004,Expenses!$B$5:$B$1004,$A13,Expenses!$G$5:$G$1004,$B$3))</f>
        <v/>
      </c>
      <c r="H13" s="45" t="str">
        <f aca="false">IF($A13="","",Fleet!$O$12*C13)</f>
        <v/>
      </c>
      <c r="I13" s="45" t="str">
        <f aca="false">IF($A13="","",F13-G13-H13)</f>
        <v/>
      </c>
      <c r="J13" s="45" t="str">
        <f aca="false">IF($A13="","",(SUMIFS(Trips!$H$5:$H$1004,Trips!$B$5:$B$1004,$A13,Trips!$L$5:$L$1004,EDATE($B$3,-1))+SUMIFS(Trips!$I$5:$I$1004,Trips!$B$5:$B$1004,$A13,Trips!$L$5:$L$1004,EDATE($B$3,-1))-SUMIFS(Trips!$J$5:$J$1004,Trips!$B$5:$B$1004,$A13,Trips!$L$5:$L$1004,EDATE($B$3,-1))-SUMIFS(Expenses!$E$5:$E$1004,Expenses!$B$5:$B$1004,$A13,Expenses!$G$5:$G$1004,EDATE($B$3,-1))-Fleet!$O$12*IF(AND(Fleet!$A$12&lt;&gt;"",N(Fleet!$E$12)&lt;=EOMONTH(EDATE($B$3,-1),0),OR(Fleet!$F$12="",N(Fleet!$F$12)&gt;=EDATE($B$3,-1))),1,0)))</f>
        <v/>
      </c>
      <c r="K13" s="45" t="str">
        <f aca="false">IF($A13="","",(SUMIFS(Trips!$H$5:$H$1004,Trips!$B$5:$B$1004,$A13,Trips!$L$5:$L$1004,EDATE($B$3,-2))+SUMIFS(Trips!$I$5:$I$1004,Trips!$B$5:$B$1004,$A13,Trips!$L$5:$L$1004,EDATE($B$3,-2))-SUMIFS(Trips!$J$5:$J$1004,Trips!$B$5:$B$1004,$A13,Trips!$L$5:$L$1004,EDATE($B$3,-2))-SUMIFS(Expenses!$E$5:$E$1004,Expenses!$B$5:$B$1004,$A13,Expenses!$G$5:$G$1004,EDATE($B$3,-2))-Fleet!$O$12*IF(AND(Fleet!$A$12&lt;&gt;"",N(Fleet!$E$12)&lt;=EOMONTH(EDATE($B$3,-2),0),OR(Fleet!$F$12="",N(Fleet!$F$12)&gt;=EDATE($B$3,-2))),1,0)))</f>
        <v/>
      </c>
      <c r="L13" s="45" t="str">
        <f aca="false">IF($A13="","",SUMIFS(Trips!$M$5:$M$1004,Trips!$B$5:$B$1004,$A13,Trips!$L$5:$L$1004,"&lt;="&amp;$B$3)-SUMIFS(Expenses!$E$5:$E$1004,Expenses!$B$5:$B$1004,$A13,Expenses!$G$5:$G$1004,"&lt;="&amp;$B$3)-Fleet!$O$12*IF(N(Fleet!$E$12)=0,0,MAX(0,(YEAR(IF(Fleet!$F$12="",EOMONTH($B$3,0),MIN(Fleet!$F$12,EOMONTH($B$3,0))))-YEAR(Fleet!$E$12))*12+MONTH(IF(Fleet!$F$12="",EOMONTH($B$3,0),MIN(Fleet!$F$12,EOMONTH($B$3,0))))-MONTH(Fleet!$E$12)+1)))</f>
        <v/>
      </c>
      <c r="M13" s="46" t="str">
        <f aca="false">IF($A13="","",Fleet!$H$12)</f>
        <v/>
      </c>
      <c r="N13" s="44" t="str">
        <f aca="false">IF(OR($A13="",N(M13)=0),"",L13/M13)</f>
        <v/>
      </c>
      <c r="O13" s="2" t="str">
        <f aca="false">IF(OR($A13="",N(C13)=0),"",IF(AND(I13&lt;0,J13&lt;0,K13&lt;0),"REVIEW: 3 losing months",IF(I13&lt;Assumptions!$B$9,"Below net target",IF(E13&lt;Assumptions!$B$8,"Low utilization","On track"))))</f>
        <v/>
      </c>
    </row>
    <row r="14" customFormat="false" ht="15" hidden="false" customHeight="false" outlineLevel="0" collapsed="false">
      <c r="A14" s="41" t="str">
        <f aca="false">IF(Fleet!A13="","",Fleet!A13)</f>
        <v/>
      </c>
      <c r="B14" s="41" t="str">
        <f aca="false">IF(Fleet!A13="","",Fleet!B13&amp;" "&amp;Fleet!C13)</f>
        <v/>
      </c>
      <c r="C14" s="42" t="str">
        <f aca="false">IF($A14="","",IF(AND(Fleet!$A$13&lt;&gt;"",N(Fleet!$E$13)&lt;=EOMONTH($B$3,0),OR(Fleet!$F$13="",N(Fleet!$F$13)&gt;=$B$3)),1,0))</f>
        <v/>
      </c>
      <c r="D14" s="43" t="str">
        <f aca="false">IF($A14="","",SUMIFS(Trips!$E$5:$E$1004,Trips!$B$5:$B$1004,$A14,Trips!$L$5:$L$1004,$B$3))</f>
        <v/>
      </c>
      <c r="E14" s="44" t="str">
        <f aca="false">IF(OR($A14="",N(C14)=0),"",D14/DAY(EOMONTH($B$3,0)))</f>
        <v/>
      </c>
      <c r="F14" s="45" t="str">
        <f aca="false">IF($A14="","",SUMIFS(Trips!$H$5:$H$1004,Trips!$B$5:$B$1004,$A14,Trips!$L$5:$L$1004,$B$3)+SUMIFS(Trips!$I$5:$I$1004,Trips!$B$5:$B$1004,$A14,Trips!$L$5:$L$1004,$B$3))</f>
        <v/>
      </c>
      <c r="G14" s="45" t="str">
        <f aca="false">IF($A14="","",SUMIFS(Trips!$J$5:$J$1004,Trips!$B$5:$B$1004,$A14,Trips!$L$5:$L$1004,$B$3)+SUMIFS(Expenses!$E$5:$E$1004,Expenses!$B$5:$B$1004,$A14,Expenses!$G$5:$G$1004,$B$3))</f>
        <v/>
      </c>
      <c r="H14" s="45" t="str">
        <f aca="false">IF($A14="","",Fleet!$O$13*C14)</f>
        <v/>
      </c>
      <c r="I14" s="45" t="str">
        <f aca="false">IF($A14="","",F14-G14-H14)</f>
        <v/>
      </c>
      <c r="J14" s="45" t="str">
        <f aca="false">IF($A14="","",(SUMIFS(Trips!$H$5:$H$1004,Trips!$B$5:$B$1004,$A14,Trips!$L$5:$L$1004,EDATE($B$3,-1))+SUMIFS(Trips!$I$5:$I$1004,Trips!$B$5:$B$1004,$A14,Trips!$L$5:$L$1004,EDATE($B$3,-1))-SUMIFS(Trips!$J$5:$J$1004,Trips!$B$5:$B$1004,$A14,Trips!$L$5:$L$1004,EDATE($B$3,-1))-SUMIFS(Expenses!$E$5:$E$1004,Expenses!$B$5:$B$1004,$A14,Expenses!$G$5:$G$1004,EDATE($B$3,-1))-Fleet!$O$13*IF(AND(Fleet!$A$13&lt;&gt;"",N(Fleet!$E$13)&lt;=EOMONTH(EDATE($B$3,-1),0),OR(Fleet!$F$13="",N(Fleet!$F$13)&gt;=EDATE($B$3,-1))),1,0)))</f>
        <v/>
      </c>
      <c r="K14" s="45" t="str">
        <f aca="false">IF($A14="","",(SUMIFS(Trips!$H$5:$H$1004,Trips!$B$5:$B$1004,$A14,Trips!$L$5:$L$1004,EDATE($B$3,-2))+SUMIFS(Trips!$I$5:$I$1004,Trips!$B$5:$B$1004,$A14,Trips!$L$5:$L$1004,EDATE($B$3,-2))-SUMIFS(Trips!$J$5:$J$1004,Trips!$B$5:$B$1004,$A14,Trips!$L$5:$L$1004,EDATE($B$3,-2))-SUMIFS(Expenses!$E$5:$E$1004,Expenses!$B$5:$B$1004,$A14,Expenses!$G$5:$G$1004,EDATE($B$3,-2))-Fleet!$O$13*IF(AND(Fleet!$A$13&lt;&gt;"",N(Fleet!$E$13)&lt;=EOMONTH(EDATE($B$3,-2),0),OR(Fleet!$F$13="",N(Fleet!$F$13)&gt;=EDATE($B$3,-2))),1,0)))</f>
        <v/>
      </c>
      <c r="L14" s="45" t="str">
        <f aca="false">IF($A14="","",SUMIFS(Trips!$M$5:$M$1004,Trips!$B$5:$B$1004,$A14,Trips!$L$5:$L$1004,"&lt;="&amp;$B$3)-SUMIFS(Expenses!$E$5:$E$1004,Expenses!$B$5:$B$1004,$A14,Expenses!$G$5:$G$1004,"&lt;="&amp;$B$3)-Fleet!$O$13*IF(N(Fleet!$E$13)=0,0,MAX(0,(YEAR(IF(Fleet!$F$13="",EOMONTH($B$3,0),MIN(Fleet!$F$13,EOMONTH($B$3,0))))-YEAR(Fleet!$E$13))*12+MONTH(IF(Fleet!$F$13="",EOMONTH($B$3,0),MIN(Fleet!$F$13,EOMONTH($B$3,0))))-MONTH(Fleet!$E$13)+1)))</f>
        <v/>
      </c>
      <c r="M14" s="46" t="str">
        <f aca="false">IF($A14="","",Fleet!$H$13)</f>
        <v/>
      </c>
      <c r="N14" s="44" t="str">
        <f aca="false">IF(OR($A14="",N(M14)=0),"",L14/M14)</f>
        <v/>
      </c>
      <c r="O14" s="2" t="str">
        <f aca="false">IF(OR($A14="",N(C14)=0),"",IF(AND(I14&lt;0,J14&lt;0,K14&lt;0),"REVIEW: 3 losing months",IF(I14&lt;Assumptions!$B$9,"Below net target",IF(E14&lt;Assumptions!$B$8,"Low utilization","On track"))))</f>
        <v/>
      </c>
    </row>
    <row r="15" customFormat="false" ht="15" hidden="false" customHeight="false" outlineLevel="0" collapsed="false">
      <c r="A15" s="41" t="str">
        <f aca="false">IF(Fleet!A14="","",Fleet!A14)</f>
        <v/>
      </c>
      <c r="B15" s="41" t="str">
        <f aca="false">IF(Fleet!A14="","",Fleet!B14&amp;" "&amp;Fleet!C14)</f>
        <v/>
      </c>
      <c r="C15" s="42" t="str">
        <f aca="false">IF($A15="","",IF(AND(Fleet!$A$14&lt;&gt;"",N(Fleet!$E$14)&lt;=EOMONTH($B$3,0),OR(Fleet!$F$14="",N(Fleet!$F$14)&gt;=$B$3)),1,0))</f>
        <v/>
      </c>
      <c r="D15" s="43" t="str">
        <f aca="false">IF($A15="","",SUMIFS(Trips!$E$5:$E$1004,Trips!$B$5:$B$1004,$A15,Trips!$L$5:$L$1004,$B$3))</f>
        <v/>
      </c>
      <c r="E15" s="44" t="str">
        <f aca="false">IF(OR($A15="",N(C15)=0),"",D15/DAY(EOMONTH($B$3,0)))</f>
        <v/>
      </c>
      <c r="F15" s="45" t="str">
        <f aca="false">IF($A15="","",SUMIFS(Trips!$H$5:$H$1004,Trips!$B$5:$B$1004,$A15,Trips!$L$5:$L$1004,$B$3)+SUMIFS(Trips!$I$5:$I$1004,Trips!$B$5:$B$1004,$A15,Trips!$L$5:$L$1004,$B$3))</f>
        <v/>
      </c>
      <c r="G15" s="45" t="str">
        <f aca="false">IF($A15="","",SUMIFS(Trips!$J$5:$J$1004,Trips!$B$5:$B$1004,$A15,Trips!$L$5:$L$1004,$B$3)+SUMIFS(Expenses!$E$5:$E$1004,Expenses!$B$5:$B$1004,$A15,Expenses!$G$5:$G$1004,$B$3))</f>
        <v/>
      </c>
      <c r="H15" s="45" t="str">
        <f aca="false">IF($A15="","",Fleet!$O$14*C15)</f>
        <v/>
      </c>
      <c r="I15" s="45" t="str">
        <f aca="false">IF($A15="","",F15-G15-H15)</f>
        <v/>
      </c>
      <c r="J15" s="45" t="str">
        <f aca="false">IF($A15="","",(SUMIFS(Trips!$H$5:$H$1004,Trips!$B$5:$B$1004,$A15,Trips!$L$5:$L$1004,EDATE($B$3,-1))+SUMIFS(Trips!$I$5:$I$1004,Trips!$B$5:$B$1004,$A15,Trips!$L$5:$L$1004,EDATE($B$3,-1))-SUMIFS(Trips!$J$5:$J$1004,Trips!$B$5:$B$1004,$A15,Trips!$L$5:$L$1004,EDATE($B$3,-1))-SUMIFS(Expenses!$E$5:$E$1004,Expenses!$B$5:$B$1004,$A15,Expenses!$G$5:$G$1004,EDATE($B$3,-1))-Fleet!$O$14*IF(AND(Fleet!$A$14&lt;&gt;"",N(Fleet!$E$14)&lt;=EOMONTH(EDATE($B$3,-1),0),OR(Fleet!$F$14="",N(Fleet!$F$14)&gt;=EDATE($B$3,-1))),1,0)))</f>
        <v/>
      </c>
      <c r="K15" s="45" t="str">
        <f aca="false">IF($A15="","",(SUMIFS(Trips!$H$5:$H$1004,Trips!$B$5:$B$1004,$A15,Trips!$L$5:$L$1004,EDATE($B$3,-2))+SUMIFS(Trips!$I$5:$I$1004,Trips!$B$5:$B$1004,$A15,Trips!$L$5:$L$1004,EDATE($B$3,-2))-SUMIFS(Trips!$J$5:$J$1004,Trips!$B$5:$B$1004,$A15,Trips!$L$5:$L$1004,EDATE($B$3,-2))-SUMIFS(Expenses!$E$5:$E$1004,Expenses!$B$5:$B$1004,$A15,Expenses!$G$5:$G$1004,EDATE($B$3,-2))-Fleet!$O$14*IF(AND(Fleet!$A$14&lt;&gt;"",N(Fleet!$E$14)&lt;=EOMONTH(EDATE($B$3,-2),0),OR(Fleet!$F$14="",N(Fleet!$F$14)&gt;=EDATE($B$3,-2))),1,0)))</f>
        <v/>
      </c>
      <c r="L15" s="45" t="str">
        <f aca="false">IF($A15="","",SUMIFS(Trips!$M$5:$M$1004,Trips!$B$5:$B$1004,$A15,Trips!$L$5:$L$1004,"&lt;="&amp;$B$3)-SUMIFS(Expenses!$E$5:$E$1004,Expenses!$B$5:$B$1004,$A15,Expenses!$G$5:$G$1004,"&lt;="&amp;$B$3)-Fleet!$O$14*IF(N(Fleet!$E$14)=0,0,MAX(0,(YEAR(IF(Fleet!$F$14="",EOMONTH($B$3,0),MIN(Fleet!$F$14,EOMONTH($B$3,0))))-YEAR(Fleet!$E$14))*12+MONTH(IF(Fleet!$F$14="",EOMONTH($B$3,0),MIN(Fleet!$F$14,EOMONTH($B$3,0))))-MONTH(Fleet!$E$14)+1)))</f>
        <v/>
      </c>
      <c r="M15" s="46" t="str">
        <f aca="false">IF($A15="","",Fleet!$H$14)</f>
        <v/>
      </c>
      <c r="N15" s="44" t="str">
        <f aca="false">IF(OR($A15="",N(M15)=0),"",L15/M15)</f>
        <v/>
      </c>
      <c r="O15" s="2" t="str">
        <f aca="false">IF(OR($A15="",N(C15)=0),"",IF(AND(I15&lt;0,J15&lt;0,K15&lt;0),"REVIEW: 3 losing months",IF(I15&lt;Assumptions!$B$9,"Below net target",IF(E15&lt;Assumptions!$B$8,"Low utilization","On track"))))</f>
        <v/>
      </c>
    </row>
    <row r="16" customFormat="false" ht="15" hidden="false" customHeight="false" outlineLevel="0" collapsed="false">
      <c r="A16" s="41" t="str">
        <f aca="false">IF(Fleet!A15="","",Fleet!A15)</f>
        <v/>
      </c>
      <c r="B16" s="41" t="str">
        <f aca="false">IF(Fleet!A15="","",Fleet!B15&amp;" "&amp;Fleet!C15)</f>
        <v/>
      </c>
      <c r="C16" s="42" t="str">
        <f aca="false">IF($A16="","",IF(AND(Fleet!$A$15&lt;&gt;"",N(Fleet!$E$15)&lt;=EOMONTH($B$3,0),OR(Fleet!$F$15="",N(Fleet!$F$15)&gt;=$B$3)),1,0))</f>
        <v/>
      </c>
      <c r="D16" s="43" t="str">
        <f aca="false">IF($A16="","",SUMIFS(Trips!$E$5:$E$1004,Trips!$B$5:$B$1004,$A16,Trips!$L$5:$L$1004,$B$3))</f>
        <v/>
      </c>
      <c r="E16" s="44" t="str">
        <f aca="false">IF(OR($A16="",N(C16)=0),"",D16/DAY(EOMONTH($B$3,0)))</f>
        <v/>
      </c>
      <c r="F16" s="45" t="str">
        <f aca="false">IF($A16="","",SUMIFS(Trips!$H$5:$H$1004,Trips!$B$5:$B$1004,$A16,Trips!$L$5:$L$1004,$B$3)+SUMIFS(Trips!$I$5:$I$1004,Trips!$B$5:$B$1004,$A16,Trips!$L$5:$L$1004,$B$3))</f>
        <v/>
      </c>
      <c r="G16" s="45" t="str">
        <f aca="false">IF($A16="","",SUMIFS(Trips!$J$5:$J$1004,Trips!$B$5:$B$1004,$A16,Trips!$L$5:$L$1004,$B$3)+SUMIFS(Expenses!$E$5:$E$1004,Expenses!$B$5:$B$1004,$A16,Expenses!$G$5:$G$1004,$B$3))</f>
        <v/>
      </c>
      <c r="H16" s="45" t="str">
        <f aca="false">IF($A16="","",Fleet!$O$15*C16)</f>
        <v/>
      </c>
      <c r="I16" s="45" t="str">
        <f aca="false">IF($A16="","",F16-G16-H16)</f>
        <v/>
      </c>
      <c r="J16" s="45" t="str">
        <f aca="false">IF($A16="","",(SUMIFS(Trips!$H$5:$H$1004,Trips!$B$5:$B$1004,$A16,Trips!$L$5:$L$1004,EDATE($B$3,-1))+SUMIFS(Trips!$I$5:$I$1004,Trips!$B$5:$B$1004,$A16,Trips!$L$5:$L$1004,EDATE($B$3,-1))-SUMIFS(Trips!$J$5:$J$1004,Trips!$B$5:$B$1004,$A16,Trips!$L$5:$L$1004,EDATE($B$3,-1))-SUMIFS(Expenses!$E$5:$E$1004,Expenses!$B$5:$B$1004,$A16,Expenses!$G$5:$G$1004,EDATE($B$3,-1))-Fleet!$O$15*IF(AND(Fleet!$A$15&lt;&gt;"",N(Fleet!$E$15)&lt;=EOMONTH(EDATE($B$3,-1),0),OR(Fleet!$F$15="",N(Fleet!$F$15)&gt;=EDATE($B$3,-1))),1,0)))</f>
        <v/>
      </c>
      <c r="K16" s="45" t="str">
        <f aca="false">IF($A16="","",(SUMIFS(Trips!$H$5:$H$1004,Trips!$B$5:$B$1004,$A16,Trips!$L$5:$L$1004,EDATE($B$3,-2))+SUMIFS(Trips!$I$5:$I$1004,Trips!$B$5:$B$1004,$A16,Trips!$L$5:$L$1004,EDATE($B$3,-2))-SUMIFS(Trips!$J$5:$J$1004,Trips!$B$5:$B$1004,$A16,Trips!$L$5:$L$1004,EDATE($B$3,-2))-SUMIFS(Expenses!$E$5:$E$1004,Expenses!$B$5:$B$1004,$A16,Expenses!$G$5:$G$1004,EDATE($B$3,-2))-Fleet!$O$15*IF(AND(Fleet!$A$15&lt;&gt;"",N(Fleet!$E$15)&lt;=EOMONTH(EDATE($B$3,-2),0),OR(Fleet!$F$15="",N(Fleet!$F$15)&gt;=EDATE($B$3,-2))),1,0)))</f>
        <v/>
      </c>
      <c r="L16" s="45" t="str">
        <f aca="false">IF($A16="","",SUMIFS(Trips!$M$5:$M$1004,Trips!$B$5:$B$1004,$A16,Trips!$L$5:$L$1004,"&lt;="&amp;$B$3)-SUMIFS(Expenses!$E$5:$E$1004,Expenses!$B$5:$B$1004,$A16,Expenses!$G$5:$G$1004,"&lt;="&amp;$B$3)-Fleet!$O$15*IF(N(Fleet!$E$15)=0,0,MAX(0,(YEAR(IF(Fleet!$F$15="",EOMONTH($B$3,0),MIN(Fleet!$F$15,EOMONTH($B$3,0))))-YEAR(Fleet!$E$15))*12+MONTH(IF(Fleet!$F$15="",EOMONTH($B$3,0),MIN(Fleet!$F$15,EOMONTH($B$3,0))))-MONTH(Fleet!$E$15)+1)))</f>
        <v/>
      </c>
      <c r="M16" s="46" t="str">
        <f aca="false">IF($A16="","",Fleet!$H$15)</f>
        <v/>
      </c>
      <c r="N16" s="44" t="str">
        <f aca="false">IF(OR($A16="",N(M16)=0),"",L16/M16)</f>
        <v/>
      </c>
      <c r="O16" s="2" t="str">
        <f aca="false">IF(OR($A16="",N(C16)=0),"",IF(AND(I16&lt;0,J16&lt;0,K16&lt;0),"REVIEW: 3 losing months",IF(I16&lt;Assumptions!$B$9,"Below net target",IF(E16&lt;Assumptions!$B$8,"Low utilization","On track"))))</f>
        <v/>
      </c>
    </row>
    <row r="17" customFormat="false" ht="15" hidden="false" customHeight="false" outlineLevel="0" collapsed="false">
      <c r="A17" s="41" t="str">
        <f aca="false">IF(Fleet!A16="","",Fleet!A16)</f>
        <v/>
      </c>
      <c r="B17" s="41" t="str">
        <f aca="false">IF(Fleet!A16="","",Fleet!B16&amp;" "&amp;Fleet!C16)</f>
        <v/>
      </c>
      <c r="C17" s="42" t="str">
        <f aca="false">IF($A17="","",IF(AND(Fleet!$A$16&lt;&gt;"",N(Fleet!$E$16)&lt;=EOMONTH($B$3,0),OR(Fleet!$F$16="",N(Fleet!$F$16)&gt;=$B$3)),1,0))</f>
        <v/>
      </c>
      <c r="D17" s="43" t="str">
        <f aca="false">IF($A17="","",SUMIFS(Trips!$E$5:$E$1004,Trips!$B$5:$B$1004,$A17,Trips!$L$5:$L$1004,$B$3))</f>
        <v/>
      </c>
      <c r="E17" s="44" t="str">
        <f aca="false">IF(OR($A17="",N(C17)=0),"",D17/DAY(EOMONTH($B$3,0)))</f>
        <v/>
      </c>
      <c r="F17" s="45" t="str">
        <f aca="false">IF($A17="","",SUMIFS(Trips!$H$5:$H$1004,Trips!$B$5:$B$1004,$A17,Trips!$L$5:$L$1004,$B$3)+SUMIFS(Trips!$I$5:$I$1004,Trips!$B$5:$B$1004,$A17,Trips!$L$5:$L$1004,$B$3))</f>
        <v/>
      </c>
      <c r="G17" s="45" t="str">
        <f aca="false">IF($A17="","",SUMIFS(Trips!$J$5:$J$1004,Trips!$B$5:$B$1004,$A17,Trips!$L$5:$L$1004,$B$3)+SUMIFS(Expenses!$E$5:$E$1004,Expenses!$B$5:$B$1004,$A17,Expenses!$G$5:$G$1004,$B$3))</f>
        <v/>
      </c>
      <c r="H17" s="45" t="str">
        <f aca="false">IF($A17="","",Fleet!$O$16*C17)</f>
        <v/>
      </c>
      <c r="I17" s="45" t="str">
        <f aca="false">IF($A17="","",F17-G17-H17)</f>
        <v/>
      </c>
      <c r="J17" s="45" t="str">
        <f aca="false">IF($A17="","",(SUMIFS(Trips!$H$5:$H$1004,Trips!$B$5:$B$1004,$A17,Trips!$L$5:$L$1004,EDATE($B$3,-1))+SUMIFS(Trips!$I$5:$I$1004,Trips!$B$5:$B$1004,$A17,Trips!$L$5:$L$1004,EDATE($B$3,-1))-SUMIFS(Trips!$J$5:$J$1004,Trips!$B$5:$B$1004,$A17,Trips!$L$5:$L$1004,EDATE($B$3,-1))-SUMIFS(Expenses!$E$5:$E$1004,Expenses!$B$5:$B$1004,$A17,Expenses!$G$5:$G$1004,EDATE($B$3,-1))-Fleet!$O$16*IF(AND(Fleet!$A$16&lt;&gt;"",N(Fleet!$E$16)&lt;=EOMONTH(EDATE($B$3,-1),0),OR(Fleet!$F$16="",N(Fleet!$F$16)&gt;=EDATE($B$3,-1))),1,0)))</f>
        <v/>
      </c>
      <c r="K17" s="45" t="str">
        <f aca="false">IF($A17="","",(SUMIFS(Trips!$H$5:$H$1004,Trips!$B$5:$B$1004,$A17,Trips!$L$5:$L$1004,EDATE($B$3,-2))+SUMIFS(Trips!$I$5:$I$1004,Trips!$B$5:$B$1004,$A17,Trips!$L$5:$L$1004,EDATE($B$3,-2))-SUMIFS(Trips!$J$5:$J$1004,Trips!$B$5:$B$1004,$A17,Trips!$L$5:$L$1004,EDATE($B$3,-2))-SUMIFS(Expenses!$E$5:$E$1004,Expenses!$B$5:$B$1004,$A17,Expenses!$G$5:$G$1004,EDATE($B$3,-2))-Fleet!$O$16*IF(AND(Fleet!$A$16&lt;&gt;"",N(Fleet!$E$16)&lt;=EOMONTH(EDATE($B$3,-2),0),OR(Fleet!$F$16="",N(Fleet!$F$16)&gt;=EDATE($B$3,-2))),1,0)))</f>
        <v/>
      </c>
      <c r="L17" s="45" t="str">
        <f aca="false">IF($A17="","",SUMIFS(Trips!$M$5:$M$1004,Trips!$B$5:$B$1004,$A17,Trips!$L$5:$L$1004,"&lt;="&amp;$B$3)-SUMIFS(Expenses!$E$5:$E$1004,Expenses!$B$5:$B$1004,$A17,Expenses!$G$5:$G$1004,"&lt;="&amp;$B$3)-Fleet!$O$16*IF(N(Fleet!$E$16)=0,0,MAX(0,(YEAR(IF(Fleet!$F$16="",EOMONTH($B$3,0),MIN(Fleet!$F$16,EOMONTH($B$3,0))))-YEAR(Fleet!$E$16))*12+MONTH(IF(Fleet!$F$16="",EOMONTH($B$3,0),MIN(Fleet!$F$16,EOMONTH($B$3,0))))-MONTH(Fleet!$E$16)+1)))</f>
        <v/>
      </c>
      <c r="M17" s="46" t="str">
        <f aca="false">IF($A17="","",Fleet!$H$16)</f>
        <v/>
      </c>
      <c r="N17" s="44" t="str">
        <f aca="false">IF(OR($A17="",N(M17)=0),"",L17/M17)</f>
        <v/>
      </c>
      <c r="O17" s="2" t="str">
        <f aca="false">IF(OR($A17="",N(C17)=0),"",IF(AND(I17&lt;0,J17&lt;0,K17&lt;0),"REVIEW: 3 losing months",IF(I17&lt;Assumptions!$B$9,"Below net target",IF(E17&lt;Assumptions!$B$8,"Low utilization","On track"))))</f>
        <v/>
      </c>
    </row>
    <row r="18" customFormat="false" ht="15" hidden="false" customHeight="false" outlineLevel="0" collapsed="false">
      <c r="A18" s="41" t="str">
        <f aca="false">IF(Fleet!A17="","",Fleet!A17)</f>
        <v/>
      </c>
      <c r="B18" s="41" t="str">
        <f aca="false">IF(Fleet!A17="","",Fleet!B17&amp;" "&amp;Fleet!C17)</f>
        <v/>
      </c>
      <c r="C18" s="42" t="str">
        <f aca="false">IF($A18="","",IF(AND(Fleet!$A$17&lt;&gt;"",N(Fleet!$E$17)&lt;=EOMONTH($B$3,0),OR(Fleet!$F$17="",N(Fleet!$F$17)&gt;=$B$3)),1,0))</f>
        <v/>
      </c>
      <c r="D18" s="43" t="str">
        <f aca="false">IF($A18="","",SUMIFS(Trips!$E$5:$E$1004,Trips!$B$5:$B$1004,$A18,Trips!$L$5:$L$1004,$B$3))</f>
        <v/>
      </c>
      <c r="E18" s="44" t="str">
        <f aca="false">IF(OR($A18="",N(C18)=0),"",D18/DAY(EOMONTH($B$3,0)))</f>
        <v/>
      </c>
      <c r="F18" s="45" t="str">
        <f aca="false">IF($A18="","",SUMIFS(Trips!$H$5:$H$1004,Trips!$B$5:$B$1004,$A18,Trips!$L$5:$L$1004,$B$3)+SUMIFS(Trips!$I$5:$I$1004,Trips!$B$5:$B$1004,$A18,Trips!$L$5:$L$1004,$B$3))</f>
        <v/>
      </c>
      <c r="G18" s="45" t="str">
        <f aca="false">IF($A18="","",SUMIFS(Trips!$J$5:$J$1004,Trips!$B$5:$B$1004,$A18,Trips!$L$5:$L$1004,$B$3)+SUMIFS(Expenses!$E$5:$E$1004,Expenses!$B$5:$B$1004,$A18,Expenses!$G$5:$G$1004,$B$3))</f>
        <v/>
      </c>
      <c r="H18" s="45" t="str">
        <f aca="false">IF($A18="","",Fleet!$O$17*C18)</f>
        <v/>
      </c>
      <c r="I18" s="45" t="str">
        <f aca="false">IF($A18="","",F18-G18-H18)</f>
        <v/>
      </c>
      <c r="J18" s="45" t="str">
        <f aca="false">IF($A18="","",(SUMIFS(Trips!$H$5:$H$1004,Trips!$B$5:$B$1004,$A18,Trips!$L$5:$L$1004,EDATE($B$3,-1))+SUMIFS(Trips!$I$5:$I$1004,Trips!$B$5:$B$1004,$A18,Trips!$L$5:$L$1004,EDATE($B$3,-1))-SUMIFS(Trips!$J$5:$J$1004,Trips!$B$5:$B$1004,$A18,Trips!$L$5:$L$1004,EDATE($B$3,-1))-SUMIFS(Expenses!$E$5:$E$1004,Expenses!$B$5:$B$1004,$A18,Expenses!$G$5:$G$1004,EDATE($B$3,-1))-Fleet!$O$17*IF(AND(Fleet!$A$17&lt;&gt;"",N(Fleet!$E$17)&lt;=EOMONTH(EDATE($B$3,-1),0),OR(Fleet!$F$17="",N(Fleet!$F$17)&gt;=EDATE($B$3,-1))),1,0)))</f>
        <v/>
      </c>
      <c r="K18" s="45" t="str">
        <f aca="false">IF($A18="","",(SUMIFS(Trips!$H$5:$H$1004,Trips!$B$5:$B$1004,$A18,Trips!$L$5:$L$1004,EDATE($B$3,-2))+SUMIFS(Trips!$I$5:$I$1004,Trips!$B$5:$B$1004,$A18,Trips!$L$5:$L$1004,EDATE($B$3,-2))-SUMIFS(Trips!$J$5:$J$1004,Trips!$B$5:$B$1004,$A18,Trips!$L$5:$L$1004,EDATE($B$3,-2))-SUMIFS(Expenses!$E$5:$E$1004,Expenses!$B$5:$B$1004,$A18,Expenses!$G$5:$G$1004,EDATE($B$3,-2))-Fleet!$O$17*IF(AND(Fleet!$A$17&lt;&gt;"",N(Fleet!$E$17)&lt;=EOMONTH(EDATE($B$3,-2),0),OR(Fleet!$F$17="",N(Fleet!$F$17)&gt;=EDATE($B$3,-2))),1,0)))</f>
        <v/>
      </c>
      <c r="L18" s="45" t="str">
        <f aca="false">IF($A18="","",SUMIFS(Trips!$M$5:$M$1004,Trips!$B$5:$B$1004,$A18,Trips!$L$5:$L$1004,"&lt;="&amp;$B$3)-SUMIFS(Expenses!$E$5:$E$1004,Expenses!$B$5:$B$1004,$A18,Expenses!$G$5:$G$1004,"&lt;="&amp;$B$3)-Fleet!$O$17*IF(N(Fleet!$E$17)=0,0,MAX(0,(YEAR(IF(Fleet!$F$17="",EOMONTH($B$3,0),MIN(Fleet!$F$17,EOMONTH($B$3,0))))-YEAR(Fleet!$E$17))*12+MONTH(IF(Fleet!$F$17="",EOMONTH($B$3,0),MIN(Fleet!$F$17,EOMONTH($B$3,0))))-MONTH(Fleet!$E$17)+1)))</f>
        <v/>
      </c>
      <c r="M18" s="46" t="str">
        <f aca="false">IF($A18="","",Fleet!$H$17)</f>
        <v/>
      </c>
      <c r="N18" s="44" t="str">
        <f aca="false">IF(OR($A18="",N(M18)=0),"",L18/M18)</f>
        <v/>
      </c>
      <c r="O18" s="2" t="str">
        <f aca="false">IF(OR($A18="",N(C18)=0),"",IF(AND(I18&lt;0,J18&lt;0,K18&lt;0),"REVIEW: 3 losing months",IF(I18&lt;Assumptions!$B$9,"Below net target",IF(E18&lt;Assumptions!$B$8,"Low utilization","On track"))))</f>
        <v/>
      </c>
    </row>
    <row r="19" customFormat="false" ht="15" hidden="false" customHeight="false" outlineLevel="0" collapsed="false">
      <c r="A19" s="41" t="str">
        <f aca="false">IF(Fleet!A18="","",Fleet!A18)</f>
        <v/>
      </c>
      <c r="B19" s="41" t="str">
        <f aca="false">IF(Fleet!A18="","",Fleet!B18&amp;" "&amp;Fleet!C18)</f>
        <v/>
      </c>
      <c r="C19" s="42" t="str">
        <f aca="false">IF($A19="","",IF(AND(Fleet!$A$18&lt;&gt;"",N(Fleet!$E$18)&lt;=EOMONTH($B$3,0),OR(Fleet!$F$18="",N(Fleet!$F$18)&gt;=$B$3)),1,0))</f>
        <v/>
      </c>
      <c r="D19" s="43" t="str">
        <f aca="false">IF($A19="","",SUMIFS(Trips!$E$5:$E$1004,Trips!$B$5:$B$1004,$A19,Trips!$L$5:$L$1004,$B$3))</f>
        <v/>
      </c>
      <c r="E19" s="44" t="str">
        <f aca="false">IF(OR($A19="",N(C19)=0),"",D19/DAY(EOMONTH($B$3,0)))</f>
        <v/>
      </c>
      <c r="F19" s="45" t="str">
        <f aca="false">IF($A19="","",SUMIFS(Trips!$H$5:$H$1004,Trips!$B$5:$B$1004,$A19,Trips!$L$5:$L$1004,$B$3)+SUMIFS(Trips!$I$5:$I$1004,Trips!$B$5:$B$1004,$A19,Trips!$L$5:$L$1004,$B$3))</f>
        <v/>
      </c>
      <c r="G19" s="45" t="str">
        <f aca="false">IF($A19="","",SUMIFS(Trips!$J$5:$J$1004,Trips!$B$5:$B$1004,$A19,Trips!$L$5:$L$1004,$B$3)+SUMIFS(Expenses!$E$5:$E$1004,Expenses!$B$5:$B$1004,$A19,Expenses!$G$5:$G$1004,$B$3))</f>
        <v/>
      </c>
      <c r="H19" s="45" t="str">
        <f aca="false">IF($A19="","",Fleet!$O$18*C19)</f>
        <v/>
      </c>
      <c r="I19" s="45" t="str">
        <f aca="false">IF($A19="","",F19-G19-H19)</f>
        <v/>
      </c>
      <c r="J19" s="45" t="str">
        <f aca="false">IF($A19="","",(SUMIFS(Trips!$H$5:$H$1004,Trips!$B$5:$B$1004,$A19,Trips!$L$5:$L$1004,EDATE($B$3,-1))+SUMIFS(Trips!$I$5:$I$1004,Trips!$B$5:$B$1004,$A19,Trips!$L$5:$L$1004,EDATE($B$3,-1))-SUMIFS(Trips!$J$5:$J$1004,Trips!$B$5:$B$1004,$A19,Trips!$L$5:$L$1004,EDATE($B$3,-1))-SUMIFS(Expenses!$E$5:$E$1004,Expenses!$B$5:$B$1004,$A19,Expenses!$G$5:$G$1004,EDATE($B$3,-1))-Fleet!$O$18*IF(AND(Fleet!$A$18&lt;&gt;"",N(Fleet!$E$18)&lt;=EOMONTH(EDATE($B$3,-1),0),OR(Fleet!$F$18="",N(Fleet!$F$18)&gt;=EDATE($B$3,-1))),1,0)))</f>
        <v/>
      </c>
      <c r="K19" s="45" t="str">
        <f aca="false">IF($A19="","",(SUMIFS(Trips!$H$5:$H$1004,Trips!$B$5:$B$1004,$A19,Trips!$L$5:$L$1004,EDATE($B$3,-2))+SUMIFS(Trips!$I$5:$I$1004,Trips!$B$5:$B$1004,$A19,Trips!$L$5:$L$1004,EDATE($B$3,-2))-SUMIFS(Trips!$J$5:$J$1004,Trips!$B$5:$B$1004,$A19,Trips!$L$5:$L$1004,EDATE($B$3,-2))-SUMIFS(Expenses!$E$5:$E$1004,Expenses!$B$5:$B$1004,$A19,Expenses!$G$5:$G$1004,EDATE($B$3,-2))-Fleet!$O$18*IF(AND(Fleet!$A$18&lt;&gt;"",N(Fleet!$E$18)&lt;=EOMONTH(EDATE($B$3,-2),0),OR(Fleet!$F$18="",N(Fleet!$F$18)&gt;=EDATE($B$3,-2))),1,0)))</f>
        <v/>
      </c>
      <c r="L19" s="45" t="str">
        <f aca="false">IF($A19="","",SUMIFS(Trips!$M$5:$M$1004,Trips!$B$5:$B$1004,$A19,Trips!$L$5:$L$1004,"&lt;="&amp;$B$3)-SUMIFS(Expenses!$E$5:$E$1004,Expenses!$B$5:$B$1004,$A19,Expenses!$G$5:$G$1004,"&lt;="&amp;$B$3)-Fleet!$O$18*IF(N(Fleet!$E$18)=0,0,MAX(0,(YEAR(IF(Fleet!$F$18="",EOMONTH($B$3,0),MIN(Fleet!$F$18,EOMONTH($B$3,0))))-YEAR(Fleet!$E$18))*12+MONTH(IF(Fleet!$F$18="",EOMONTH($B$3,0),MIN(Fleet!$F$18,EOMONTH($B$3,0))))-MONTH(Fleet!$E$18)+1)))</f>
        <v/>
      </c>
      <c r="M19" s="46" t="str">
        <f aca="false">IF($A19="","",Fleet!$H$18)</f>
        <v/>
      </c>
      <c r="N19" s="44" t="str">
        <f aca="false">IF(OR($A19="",N(M19)=0),"",L19/M19)</f>
        <v/>
      </c>
      <c r="O19" s="2" t="str">
        <f aca="false">IF(OR($A19="",N(C19)=0),"",IF(AND(I19&lt;0,J19&lt;0,K19&lt;0),"REVIEW: 3 losing months",IF(I19&lt;Assumptions!$B$9,"Below net target",IF(E19&lt;Assumptions!$B$8,"Low utilization","On track"))))</f>
        <v/>
      </c>
    </row>
    <row r="20" customFormat="false" ht="15" hidden="false" customHeight="false" outlineLevel="0" collapsed="false">
      <c r="A20" s="41" t="str">
        <f aca="false">IF(Fleet!A19="","",Fleet!A19)</f>
        <v/>
      </c>
      <c r="B20" s="41" t="str">
        <f aca="false">IF(Fleet!A19="","",Fleet!B19&amp;" "&amp;Fleet!C19)</f>
        <v/>
      </c>
      <c r="C20" s="42" t="str">
        <f aca="false">IF($A20="","",IF(AND(Fleet!$A$19&lt;&gt;"",N(Fleet!$E$19)&lt;=EOMONTH($B$3,0),OR(Fleet!$F$19="",N(Fleet!$F$19)&gt;=$B$3)),1,0))</f>
        <v/>
      </c>
      <c r="D20" s="43" t="str">
        <f aca="false">IF($A20="","",SUMIFS(Trips!$E$5:$E$1004,Trips!$B$5:$B$1004,$A20,Trips!$L$5:$L$1004,$B$3))</f>
        <v/>
      </c>
      <c r="E20" s="44" t="str">
        <f aca="false">IF(OR($A20="",N(C20)=0),"",D20/DAY(EOMONTH($B$3,0)))</f>
        <v/>
      </c>
      <c r="F20" s="45" t="str">
        <f aca="false">IF($A20="","",SUMIFS(Trips!$H$5:$H$1004,Trips!$B$5:$B$1004,$A20,Trips!$L$5:$L$1004,$B$3)+SUMIFS(Trips!$I$5:$I$1004,Trips!$B$5:$B$1004,$A20,Trips!$L$5:$L$1004,$B$3))</f>
        <v/>
      </c>
      <c r="G20" s="45" t="str">
        <f aca="false">IF($A20="","",SUMIFS(Trips!$J$5:$J$1004,Trips!$B$5:$B$1004,$A20,Trips!$L$5:$L$1004,$B$3)+SUMIFS(Expenses!$E$5:$E$1004,Expenses!$B$5:$B$1004,$A20,Expenses!$G$5:$G$1004,$B$3))</f>
        <v/>
      </c>
      <c r="H20" s="45" t="str">
        <f aca="false">IF($A20="","",Fleet!$O$19*C20)</f>
        <v/>
      </c>
      <c r="I20" s="45" t="str">
        <f aca="false">IF($A20="","",F20-G20-H20)</f>
        <v/>
      </c>
      <c r="J20" s="45" t="str">
        <f aca="false">IF($A20="","",(SUMIFS(Trips!$H$5:$H$1004,Trips!$B$5:$B$1004,$A20,Trips!$L$5:$L$1004,EDATE($B$3,-1))+SUMIFS(Trips!$I$5:$I$1004,Trips!$B$5:$B$1004,$A20,Trips!$L$5:$L$1004,EDATE($B$3,-1))-SUMIFS(Trips!$J$5:$J$1004,Trips!$B$5:$B$1004,$A20,Trips!$L$5:$L$1004,EDATE($B$3,-1))-SUMIFS(Expenses!$E$5:$E$1004,Expenses!$B$5:$B$1004,$A20,Expenses!$G$5:$G$1004,EDATE($B$3,-1))-Fleet!$O$19*IF(AND(Fleet!$A$19&lt;&gt;"",N(Fleet!$E$19)&lt;=EOMONTH(EDATE($B$3,-1),0),OR(Fleet!$F$19="",N(Fleet!$F$19)&gt;=EDATE($B$3,-1))),1,0)))</f>
        <v/>
      </c>
      <c r="K20" s="45" t="str">
        <f aca="false">IF($A20="","",(SUMIFS(Trips!$H$5:$H$1004,Trips!$B$5:$B$1004,$A20,Trips!$L$5:$L$1004,EDATE($B$3,-2))+SUMIFS(Trips!$I$5:$I$1004,Trips!$B$5:$B$1004,$A20,Trips!$L$5:$L$1004,EDATE($B$3,-2))-SUMIFS(Trips!$J$5:$J$1004,Trips!$B$5:$B$1004,$A20,Trips!$L$5:$L$1004,EDATE($B$3,-2))-SUMIFS(Expenses!$E$5:$E$1004,Expenses!$B$5:$B$1004,$A20,Expenses!$G$5:$G$1004,EDATE($B$3,-2))-Fleet!$O$19*IF(AND(Fleet!$A$19&lt;&gt;"",N(Fleet!$E$19)&lt;=EOMONTH(EDATE($B$3,-2),0),OR(Fleet!$F$19="",N(Fleet!$F$19)&gt;=EDATE($B$3,-2))),1,0)))</f>
        <v/>
      </c>
      <c r="L20" s="45" t="str">
        <f aca="false">IF($A20="","",SUMIFS(Trips!$M$5:$M$1004,Trips!$B$5:$B$1004,$A20,Trips!$L$5:$L$1004,"&lt;="&amp;$B$3)-SUMIFS(Expenses!$E$5:$E$1004,Expenses!$B$5:$B$1004,$A20,Expenses!$G$5:$G$1004,"&lt;="&amp;$B$3)-Fleet!$O$19*IF(N(Fleet!$E$19)=0,0,MAX(0,(YEAR(IF(Fleet!$F$19="",EOMONTH($B$3,0),MIN(Fleet!$F$19,EOMONTH($B$3,0))))-YEAR(Fleet!$E$19))*12+MONTH(IF(Fleet!$F$19="",EOMONTH($B$3,0),MIN(Fleet!$F$19,EOMONTH($B$3,0))))-MONTH(Fleet!$E$19)+1)))</f>
        <v/>
      </c>
      <c r="M20" s="46" t="str">
        <f aca="false">IF($A20="","",Fleet!$H$19)</f>
        <v/>
      </c>
      <c r="N20" s="44" t="str">
        <f aca="false">IF(OR($A20="",N(M20)=0),"",L20/M20)</f>
        <v/>
      </c>
      <c r="O20" s="2" t="str">
        <f aca="false">IF(OR($A20="",N(C20)=0),"",IF(AND(I20&lt;0,J20&lt;0,K20&lt;0),"REVIEW: 3 losing months",IF(I20&lt;Assumptions!$B$9,"Below net target",IF(E20&lt;Assumptions!$B$8,"Low utilization","On track"))))</f>
        <v/>
      </c>
    </row>
    <row r="21" customFormat="false" ht="15" hidden="false" customHeight="false" outlineLevel="0" collapsed="false">
      <c r="A21" s="41" t="str">
        <f aca="false">IF(Fleet!A20="","",Fleet!A20)</f>
        <v/>
      </c>
      <c r="B21" s="41" t="str">
        <f aca="false">IF(Fleet!A20="","",Fleet!B20&amp;" "&amp;Fleet!C20)</f>
        <v/>
      </c>
      <c r="C21" s="42" t="str">
        <f aca="false">IF($A21="","",IF(AND(Fleet!$A$20&lt;&gt;"",N(Fleet!$E$20)&lt;=EOMONTH($B$3,0),OR(Fleet!$F$20="",N(Fleet!$F$20)&gt;=$B$3)),1,0))</f>
        <v/>
      </c>
      <c r="D21" s="43" t="str">
        <f aca="false">IF($A21="","",SUMIFS(Trips!$E$5:$E$1004,Trips!$B$5:$B$1004,$A21,Trips!$L$5:$L$1004,$B$3))</f>
        <v/>
      </c>
      <c r="E21" s="44" t="str">
        <f aca="false">IF(OR($A21="",N(C21)=0),"",D21/DAY(EOMONTH($B$3,0)))</f>
        <v/>
      </c>
      <c r="F21" s="45" t="str">
        <f aca="false">IF($A21="","",SUMIFS(Trips!$H$5:$H$1004,Trips!$B$5:$B$1004,$A21,Trips!$L$5:$L$1004,$B$3)+SUMIFS(Trips!$I$5:$I$1004,Trips!$B$5:$B$1004,$A21,Trips!$L$5:$L$1004,$B$3))</f>
        <v/>
      </c>
      <c r="G21" s="45" t="str">
        <f aca="false">IF($A21="","",SUMIFS(Trips!$J$5:$J$1004,Trips!$B$5:$B$1004,$A21,Trips!$L$5:$L$1004,$B$3)+SUMIFS(Expenses!$E$5:$E$1004,Expenses!$B$5:$B$1004,$A21,Expenses!$G$5:$G$1004,$B$3))</f>
        <v/>
      </c>
      <c r="H21" s="45" t="str">
        <f aca="false">IF($A21="","",Fleet!$O$20*C21)</f>
        <v/>
      </c>
      <c r="I21" s="45" t="str">
        <f aca="false">IF($A21="","",F21-G21-H21)</f>
        <v/>
      </c>
      <c r="J21" s="45" t="str">
        <f aca="false">IF($A21="","",(SUMIFS(Trips!$H$5:$H$1004,Trips!$B$5:$B$1004,$A21,Trips!$L$5:$L$1004,EDATE($B$3,-1))+SUMIFS(Trips!$I$5:$I$1004,Trips!$B$5:$B$1004,$A21,Trips!$L$5:$L$1004,EDATE($B$3,-1))-SUMIFS(Trips!$J$5:$J$1004,Trips!$B$5:$B$1004,$A21,Trips!$L$5:$L$1004,EDATE($B$3,-1))-SUMIFS(Expenses!$E$5:$E$1004,Expenses!$B$5:$B$1004,$A21,Expenses!$G$5:$G$1004,EDATE($B$3,-1))-Fleet!$O$20*IF(AND(Fleet!$A$20&lt;&gt;"",N(Fleet!$E$20)&lt;=EOMONTH(EDATE($B$3,-1),0),OR(Fleet!$F$20="",N(Fleet!$F$20)&gt;=EDATE($B$3,-1))),1,0)))</f>
        <v/>
      </c>
      <c r="K21" s="45" t="str">
        <f aca="false">IF($A21="","",(SUMIFS(Trips!$H$5:$H$1004,Trips!$B$5:$B$1004,$A21,Trips!$L$5:$L$1004,EDATE($B$3,-2))+SUMIFS(Trips!$I$5:$I$1004,Trips!$B$5:$B$1004,$A21,Trips!$L$5:$L$1004,EDATE($B$3,-2))-SUMIFS(Trips!$J$5:$J$1004,Trips!$B$5:$B$1004,$A21,Trips!$L$5:$L$1004,EDATE($B$3,-2))-SUMIFS(Expenses!$E$5:$E$1004,Expenses!$B$5:$B$1004,$A21,Expenses!$G$5:$G$1004,EDATE($B$3,-2))-Fleet!$O$20*IF(AND(Fleet!$A$20&lt;&gt;"",N(Fleet!$E$20)&lt;=EOMONTH(EDATE($B$3,-2),0),OR(Fleet!$F$20="",N(Fleet!$F$20)&gt;=EDATE($B$3,-2))),1,0)))</f>
        <v/>
      </c>
      <c r="L21" s="45" t="str">
        <f aca="false">IF($A21="","",SUMIFS(Trips!$M$5:$M$1004,Trips!$B$5:$B$1004,$A21,Trips!$L$5:$L$1004,"&lt;="&amp;$B$3)-SUMIFS(Expenses!$E$5:$E$1004,Expenses!$B$5:$B$1004,$A21,Expenses!$G$5:$G$1004,"&lt;="&amp;$B$3)-Fleet!$O$20*IF(N(Fleet!$E$20)=0,0,MAX(0,(YEAR(IF(Fleet!$F$20="",EOMONTH($B$3,0),MIN(Fleet!$F$20,EOMONTH($B$3,0))))-YEAR(Fleet!$E$20))*12+MONTH(IF(Fleet!$F$20="",EOMONTH($B$3,0),MIN(Fleet!$F$20,EOMONTH($B$3,0))))-MONTH(Fleet!$E$20)+1)))</f>
        <v/>
      </c>
      <c r="M21" s="46" t="str">
        <f aca="false">IF($A21="","",Fleet!$H$20)</f>
        <v/>
      </c>
      <c r="N21" s="44" t="str">
        <f aca="false">IF(OR($A21="",N(M21)=0),"",L21/M21)</f>
        <v/>
      </c>
      <c r="O21" s="2" t="str">
        <f aca="false">IF(OR($A21="",N(C21)=0),"",IF(AND(I21&lt;0,J21&lt;0,K21&lt;0),"REVIEW: 3 losing months",IF(I21&lt;Assumptions!$B$9,"Below net target",IF(E21&lt;Assumptions!$B$8,"Low utilization","On track"))))</f>
        <v/>
      </c>
    </row>
    <row r="22" customFormat="false" ht="15" hidden="false" customHeight="false" outlineLevel="0" collapsed="false">
      <c r="A22" s="41" t="str">
        <f aca="false">IF(Fleet!A21="","",Fleet!A21)</f>
        <v/>
      </c>
      <c r="B22" s="41" t="str">
        <f aca="false">IF(Fleet!A21="","",Fleet!B21&amp;" "&amp;Fleet!C21)</f>
        <v/>
      </c>
      <c r="C22" s="42" t="str">
        <f aca="false">IF($A22="","",IF(AND(Fleet!$A$21&lt;&gt;"",N(Fleet!$E$21)&lt;=EOMONTH($B$3,0),OR(Fleet!$F$21="",N(Fleet!$F$21)&gt;=$B$3)),1,0))</f>
        <v/>
      </c>
      <c r="D22" s="43" t="str">
        <f aca="false">IF($A22="","",SUMIFS(Trips!$E$5:$E$1004,Trips!$B$5:$B$1004,$A22,Trips!$L$5:$L$1004,$B$3))</f>
        <v/>
      </c>
      <c r="E22" s="44" t="str">
        <f aca="false">IF(OR($A22="",N(C22)=0),"",D22/DAY(EOMONTH($B$3,0)))</f>
        <v/>
      </c>
      <c r="F22" s="45" t="str">
        <f aca="false">IF($A22="","",SUMIFS(Trips!$H$5:$H$1004,Trips!$B$5:$B$1004,$A22,Trips!$L$5:$L$1004,$B$3)+SUMIFS(Trips!$I$5:$I$1004,Trips!$B$5:$B$1004,$A22,Trips!$L$5:$L$1004,$B$3))</f>
        <v/>
      </c>
      <c r="G22" s="45" t="str">
        <f aca="false">IF($A22="","",SUMIFS(Trips!$J$5:$J$1004,Trips!$B$5:$B$1004,$A22,Trips!$L$5:$L$1004,$B$3)+SUMIFS(Expenses!$E$5:$E$1004,Expenses!$B$5:$B$1004,$A22,Expenses!$G$5:$G$1004,$B$3))</f>
        <v/>
      </c>
      <c r="H22" s="45" t="str">
        <f aca="false">IF($A22="","",Fleet!$O$21*C22)</f>
        <v/>
      </c>
      <c r="I22" s="45" t="str">
        <f aca="false">IF($A22="","",F22-G22-H22)</f>
        <v/>
      </c>
      <c r="J22" s="45" t="str">
        <f aca="false">IF($A22="","",(SUMIFS(Trips!$H$5:$H$1004,Trips!$B$5:$B$1004,$A22,Trips!$L$5:$L$1004,EDATE($B$3,-1))+SUMIFS(Trips!$I$5:$I$1004,Trips!$B$5:$B$1004,$A22,Trips!$L$5:$L$1004,EDATE($B$3,-1))-SUMIFS(Trips!$J$5:$J$1004,Trips!$B$5:$B$1004,$A22,Trips!$L$5:$L$1004,EDATE($B$3,-1))-SUMIFS(Expenses!$E$5:$E$1004,Expenses!$B$5:$B$1004,$A22,Expenses!$G$5:$G$1004,EDATE($B$3,-1))-Fleet!$O$21*IF(AND(Fleet!$A$21&lt;&gt;"",N(Fleet!$E$21)&lt;=EOMONTH(EDATE($B$3,-1),0),OR(Fleet!$F$21="",N(Fleet!$F$21)&gt;=EDATE($B$3,-1))),1,0)))</f>
        <v/>
      </c>
      <c r="K22" s="45" t="str">
        <f aca="false">IF($A22="","",(SUMIFS(Trips!$H$5:$H$1004,Trips!$B$5:$B$1004,$A22,Trips!$L$5:$L$1004,EDATE($B$3,-2))+SUMIFS(Trips!$I$5:$I$1004,Trips!$B$5:$B$1004,$A22,Trips!$L$5:$L$1004,EDATE($B$3,-2))-SUMIFS(Trips!$J$5:$J$1004,Trips!$B$5:$B$1004,$A22,Trips!$L$5:$L$1004,EDATE($B$3,-2))-SUMIFS(Expenses!$E$5:$E$1004,Expenses!$B$5:$B$1004,$A22,Expenses!$G$5:$G$1004,EDATE($B$3,-2))-Fleet!$O$21*IF(AND(Fleet!$A$21&lt;&gt;"",N(Fleet!$E$21)&lt;=EOMONTH(EDATE($B$3,-2),0),OR(Fleet!$F$21="",N(Fleet!$F$21)&gt;=EDATE($B$3,-2))),1,0)))</f>
        <v/>
      </c>
      <c r="L22" s="45" t="str">
        <f aca="false">IF($A22="","",SUMIFS(Trips!$M$5:$M$1004,Trips!$B$5:$B$1004,$A22,Trips!$L$5:$L$1004,"&lt;="&amp;$B$3)-SUMIFS(Expenses!$E$5:$E$1004,Expenses!$B$5:$B$1004,$A22,Expenses!$G$5:$G$1004,"&lt;="&amp;$B$3)-Fleet!$O$21*IF(N(Fleet!$E$21)=0,0,MAX(0,(YEAR(IF(Fleet!$F$21="",EOMONTH($B$3,0),MIN(Fleet!$F$21,EOMONTH($B$3,0))))-YEAR(Fleet!$E$21))*12+MONTH(IF(Fleet!$F$21="",EOMONTH($B$3,0),MIN(Fleet!$F$21,EOMONTH($B$3,0))))-MONTH(Fleet!$E$21)+1)))</f>
        <v/>
      </c>
      <c r="M22" s="46" t="str">
        <f aca="false">IF($A22="","",Fleet!$H$21)</f>
        <v/>
      </c>
      <c r="N22" s="44" t="str">
        <f aca="false">IF(OR($A22="",N(M22)=0),"",L22/M22)</f>
        <v/>
      </c>
      <c r="O22" s="2" t="str">
        <f aca="false">IF(OR($A22="",N(C22)=0),"",IF(AND(I22&lt;0,J22&lt;0,K22&lt;0),"REVIEW: 3 losing months",IF(I22&lt;Assumptions!$B$9,"Below net target",IF(E22&lt;Assumptions!$B$8,"Low utilization","On track"))))</f>
        <v/>
      </c>
    </row>
    <row r="23" customFormat="false" ht="15" hidden="false" customHeight="false" outlineLevel="0" collapsed="false">
      <c r="A23" s="41" t="str">
        <f aca="false">IF(Fleet!A22="","",Fleet!A22)</f>
        <v/>
      </c>
      <c r="B23" s="41" t="str">
        <f aca="false">IF(Fleet!A22="","",Fleet!B22&amp;" "&amp;Fleet!C22)</f>
        <v/>
      </c>
      <c r="C23" s="42" t="str">
        <f aca="false">IF($A23="","",IF(AND(Fleet!$A$22&lt;&gt;"",N(Fleet!$E$22)&lt;=EOMONTH($B$3,0),OR(Fleet!$F$22="",N(Fleet!$F$22)&gt;=$B$3)),1,0))</f>
        <v/>
      </c>
      <c r="D23" s="43" t="str">
        <f aca="false">IF($A23="","",SUMIFS(Trips!$E$5:$E$1004,Trips!$B$5:$B$1004,$A23,Trips!$L$5:$L$1004,$B$3))</f>
        <v/>
      </c>
      <c r="E23" s="44" t="str">
        <f aca="false">IF(OR($A23="",N(C23)=0),"",D23/DAY(EOMONTH($B$3,0)))</f>
        <v/>
      </c>
      <c r="F23" s="45" t="str">
        <f aca="false">IF($A23="","",SUMIFS(Trips!$H$5:$H$1004,Trips!$B$5:$B$1004,$A23,Trips!$L$5:$L$1004,$B$3)+SUMIFS(Trips!$I$5:$I$1004,Trips!$B$5:$B$1004,$A23,Trips!$L$5:$L$1004,$B$3))</f>
        <v/>
      </c>
      <c r="G23" s="45" t="str">
        <f aca="false">IF($A23="","",SUMIFS(Trips!$J$5:$J$1004,Trips!$B$5:$B$1004,$A23,Trips!$L$5:$L$1004,$B$3)+SUMIFS(Expenses!$E$5:$E$1004,Expenses!$B$5:$B$1004,$A23,Expenses!$G$5:$G$1004,$B$3))</f>
        <v/>
      </c>
      <c r="H23" s="45" t="str">
        <f aca="false">IF($A23="","",Fleet!$O$22*C23)</f>
        <v/>
      </c>
      <c r="I23" s="45" t="str">
        <f aca="false">IF($A23="","",F23-G23-H23)</f>
        <v/>
      </c>
      <c r="J23" s="45" t="str">
        <f aca="false">IF($A23="","",(SUMIFS(Trips!$H$5:$H$1004,Trips!$B$5:$B$1004,$A23,Trips!$L$5:$L$1004,EDATE($B$3,-1))+SUMIFS(Trips!$I$5:$I$1004,Trips!$B$5:$B$1004,$A23,Trips!$L$5:$L$1004,EDATE($B$3,-1))-SUMIFS(Trips!$J$5:$J$1004,Trips!$B$5:$B$1004,$A23,Trips!$L$5:$L$1004,EDATE($B$3,-1))-SUMIFS(Expenses!$E$5:$E$1004,Expenses!$B$5:$B$1004,$A23,Expenses!$G$5:$G$1004,EDATE($B$3,-1))-Fleet!$O$22*IF(AND(Fleet!$A$22&lt;&gt;"",N(Fleet!$E$22)&lt;=EOMONTH(EDATE($B$3,-1),0),OR(Fleet!$F$22="",N(Fleet!$F$22)&gt;=EDATE($B$3,-1))),1,0)))</f>
        <v/>
      </c>
      <c r="K23" s="45" t="str">
        <f aca="false">IF($A23="","",(SUMIFS(Trips!$H$5:$H$1004,Trips!$B$5:$B$1004,$A23,Trips!$L$5:$L$1004,EDATE($B$3,-2))+SUMIFS(Trips!$I$5:$I$1004,Trips!$B$5:$B$1004,$A23,Trips!$L$5:$L$1004,EDATE($B$3,-2))-SUMIFS(Trips!$J$5:$J$1004,Trips!$B$5:$B$1004,$A23,Trips!$L$5:$L$1004,EDATE($B$3,-2))-SUMIFS(Expenses!$E$5:$E$1004,Expenses!$B$5:$B$1004,$A23,Expenses!$G$5:$G$1004,EDATE($B$3,-2))-Fleet!$O$22*IF(AND(Fleet!$A$22&lt;&gt;"",N(Fleet!$E$22)&lt;=EOMONTH(EDATE($B$3,-2),0),OR(Fleet!$F$22="",N(Fleet!$F$22)&gt;=EDATE($B$3,-2))),1,0)))</f>
        <v/>
      </c>
      <c r="L23" s="45" t="str">
        <f aca="false">IF($A23="","",SUMIFS(Trips!$M$5:$M$1004,Trips!$B$5:$B$1004,$A23,Trips!$L$5:$L$1004,"&lt;="&amp;$B$3)-SUMIFS(Expenses!$E$5:$E$1004,Expenses!$B$5:$B$1004,$A23,Expenses!$G$5:$G$1004,"&lt;="&amp;$B$3)-Fleet!$O$22*IF(N(Fleet!$E$22)=0,0,MAX(0,(YEAR(IF(Fleet!$F$22="",EOMONTH($B$3,0),MIN(Fleet!$F$22,EOMONTH($B$3,0))))-YEAR(Fleet!$E$22))*12+MONTH(IF(Fleet!$F$22="",EOMONTH($B$3,0),MIN(Fleet!$F$22,EOMONTH($B$3,0))))-MONTH(Fleet!$E$22)+1)))</f>
        <v/>
      </c>
      <c r="M23" s="46" t="str">
        <f aca="false">IF($A23="","",Fleet!$H$22)</f>
        <v/>
      </c>
      <c r="N23" s="44" t="str">
        <f aca="false">IF(OR($A23="",N(M23)=0),"",L23/M23)</f>
        <v/>
      </c>
      <c r="O23" s="2" t="str">
        <f aca="false">IF(OR($A23="",N(C23)=0),"",IF(AND(I23&lt;0,J23&lt;0,K23&lt;0),"REVIEW: 3 losing months",IF(I23&lt;Assumptions!$B$9,"Below net target",IF(E23&lt;Assumptions!$B$8,"Low utilization","On track"))))</f>
        <v/>
      </c>
    </row>
    <row r="24" customFormat="false" ht="15" hidden="false" customHeight="false" outlineLevel="0" collapsed="false">
      <c r="A24" s="41" t="str">
        <f aca="false">IF(Fleet!A23="","",Fleet!A23)</f>
        <v/>
      </c>
      <c r="B24" s="41" t="str">
        <f aca="false">IF(Fleet!A23="","",Fleet!B23&amp;" "&amp;Fleet!C23)</f>
        <v/>
      </c>
      <c r="C24" s="42" t="str">
        <f aca="false">IF($A24="","",IF(AND(Fleet!$A$23&lt;&gt;"",N(Fleet!$E$23)&lt;=EOMONTH($B$3,0),OR(Fleet!$F$23="",N(Fleet!$F$23)&gt;=$B$3)),1,0))</f>
        <v/>
      </c>
      <c r="D24" s="43" t="str">
        <f aca="false">IF($A24="","",SUMIFS(Trips!$E$5:$E$1004,Trips!$B$5:$B$1004,$A24,Trips!$L$5:$L$1004,$B$3))</f>
        <v/>
      </c>
      <c r="E24" s="44" t="str">
        <f aca="false">IF(OR($A24="",N(C24)=0),"",D24/DAY(EOMONTH($B$3,0)))</f>
        <v/>
      </c>
      <c r="F24" s="45" t="str">
        <f aca="false">IF($A24="","",SUMIFS(Trips!$H$5:$H$1004,Trips!$B$5:$B$1004,$A24,Trips!$L$5:$L$1004,$B$3)+SUMIFS(Trips!$I$5:$I$1004,Trips!$B$5:$B$1004,$A24,Trips!$L$5:$L$1004,$B$3))</f>
        <v/>
      </c>
      <c r="G24" s="45" t="str">
        <f aca="false">IF($A24="","",SUMIFS(Trips!$J$5:$J$1004,Trips!$B$5:$B$1004,$A24,Trips!$L$5:$L$1004,$B$3)+SUMIFS(Expenses!$E$5:$E$1004,Expenses!$B$5:$B$1004,$A24,Expenses!$G$5:$G$1004,$B$3))</f>
        <v/>
      </c>
      <c r="H24" s="45" t="str">
        <f aca="false">IF($A24="","",Fleet!$O$23*C24)</f>
        <v/>
      </c>
      <c r="I24" s="45" t="str">
        <f aca="false">IF($A24="","",F24-G24-H24)</f>
        <v/>
      </c>
      <c r="J24" s="45" t="str">
        <f aca="false">IF($A24="","",(SUMIFS(Trips!$H$5:$H$1004,Trips!$B$5:$B$1004,$A24,Trips!$L$5:$L$1004,EDATE($B$3,-1))+SUMIFS(Trips!$I$5:$I$1004,Trips!$B$5:$B$1004,$A24,Trips!$L$5:$L$1004,EDATE($B$3,-1))-SUMIFS(Trips!$J$5:$J$1004,Trips!$B$5:$B$1004,$A24,Trips!$L$5:$L$1004,EDATE($B$3,-1))-SUMIFS(Expenses!$E$5:$E$1004,Expenses!$B$5:$B$1004,$A24,Expenses!$G$5:$G$1004,EDATE($B$3,-1))-Fleet!$O$23*IF(AND(Fleet!$A$23&lt;&gt;"",N(Fleet!$E$23)&lt;=EOMONTH(EDATE($B$3,-1),0),OR(Fleet!$F$23="",N(Fleet!$F$23)&gt;=EDATE($B$3,-1))),1,0)))</f>
        <v/>
      </c>
      <c r="K24" s="45" t="str">
        <f aca="false">IF($A24="","",(SUMIFS(Trips!$H$5:$H$1004,Trips!$B$5:$B$1004,$A24,Trips!$L$5:$L$1004,EDATE($B$3,-2))+SUMIFS(Trips!$I$5:$I$1004,Trips!$B$5:$B$1004,$A24,Trips!$L$5:$L$1004,EDATE($B$3,-2))-SUMIFS(Trips!$J$5:$J$1004,Trips!$B$5:$B$1004,$A24,Trips!$L$5:$L$1004,EDATE($B$3,-2))-SUMIFS(Expenses!$E$5:$E$1004,Expenses!$B$5:$B$1004,$A24,Expenses!$G$5:$G$1004,EDATE($B$3,-2))-Fleet!$O$23*IF(AND(Fleet!$A$23&lt;&gt;"",N(Fleet!$E$23)&lt;=EOMONTH(EDATE($B$3,-2),0),OR(Fleet!$F$23="",N(Fleet!$F$23)&gt;=EDATE($B$3,-2))),1,0)))</f>
        <v/>
      </c>
      <c r="L24" s="45" t="str">
        <f aca="false">IF($A24="","",SUMIFS(Trips!$M$5:$M$1004,Trips!$B$5:$B$1004,$A24,Trips!$L$5:$L$1004,"&lt;="&amp;$B$3)-SUMIFS(Expenses!$E$5:$E$1004,Expenses!$B$5:$B$1004,$A24,Expenses!$G$5:$G$1004,"&lt;="&amp;$B$3)-Fleet!$O$23*IF(N(Fleet!$E$23)=0,0,MAX(0,(YEAR(IF(Fleet!$F$23="",EOMONTH($B$3,0),MIN(Fleet!$F$23,EOMONTH($B$3,0))))-YEAR(Fleet!$E$23))*12+MONTH(IF(Fleet!$F$23="",EOMONTH($B$3,0),MIN(Fleet!$F$23,EOMONTH($B$3,0))))-MONTH(Fleet!$E$23)+1)))</f>
        <v/>
      </c>
      <c r="M24" s="46" t="str">
        <f aca="false">IF($A24="","",Fleet!$H$23)</f>
        <v/>
      </c>
      <c r="N24" s="44" t="str">
        <f aca="false">IF(OR($A24="",N(M24)=0),"",L24/M24)</f>
        <v/>
      </c>
      <c r="O24" s="2" t="str">
        <f aca="false">IF(OR($A24="",N(C24)=0),"",IF(AND(I24&lt;0,J24&lt;0,K24&lt;0),"REVIEW: 3 losing months",IF(I24&lt;Assumptions!$B$9,"Below net target",IF(E24&lt;Assumptions!$B$8,"Low utilization","On track"))))</f>
        <v/>
      </c>
    </row>
    <row r="25" customFormat="false" ht="15" hidden="false" customHeight="false" outlineLevel="0" collapsed="false">
      <c r="A25" s="41" t="str">
        <f aca="false">IF(Fleet!A24="","",Fleet!A24)</f>
        <v/>
      </c>
      <c r="B25" s="41" t="str">
        <f aca="false">IF(Fleet!A24="","",Fleet!B24&amp;" "&amp;Fleet!C24)</f>
        <v/>
      </c>
      <c r="C25" s="42" t="str">
        <f aca="false">IF($A25="","",IF(AND(Fleet!$A$24&lt;&gt;"",N(Fleet!$E$24)&lt;=EOMONTH($B$3,0),OR(Fleet!$F$24="",N(Fleet!$F$24)&gt;=$B$3)),1,0))</f>
        <v/>
      </c>
      <c r="D25" s="43" t="str">
        <f aca="false">IF($A25="","",SUMIFS(Trips!$E$5:$E$1004,Trips!$B$5:$B$1004,$A25,Trips!$L$5:$L$1004,$B$3))</f>
        <v/>
      </c>
      <c r="E25" s="44" t="str">
        <f aca="false">IF(OR($A25="",N(C25)=0),"",D25/DAY(EOMONTH($B$3,0)))</f>
        <v/>
      </c>
      <c r="F25" s="45" t="str">
        <f aca="false">IF($A25="","",SUMIFS(Trips!$H$5:$H$1004,Trips!$B$5:$B$1004,$A25,Trips!$L$5:$L$1004,$B$3)+SUMIFS(Trips!$I$5:$I$1004,Trips!$B$5:$B$1004,$A25,Trips!$L$5:$L$1004,$B$3))</f>
        <v/>
      </c>
      <c r="G25" s="45" t="str">
        <f aca="false">IF($A25="","",SUMIFS(Trips!$J$5:$J$1004,Trips!$B$5:$B$1004,$A25,Trips!$L$5:$L$1004,$B$3)+SUMIFS(Expenses!$E$5:$E$1004,Expenses!$B$5:$B$1004,$A25,Expenses!$G$5:$G$1004,$B$3))</f>
        <v/>
      </c>
      <c r="H25" s="45" t="str">
        <f aca="false">IF($A25="","",Fleet!$O$24*C25)</f>
        <v/>
      </c>
      <c r="I25" s="45" t="str">
        <f aca="false">IF($A25="","",F25-G25-H25)</f>
        <v/>
      </c>
      <c r="J25" s="45" t="str">
        <f aca="false">IF($A25="","",(SUMIFS(Trips!$H$5:$H$1004,Trips!$B$5:$B$1004,$A25,Trips!$L$5:$L$1004,EDATE($B$3,-1))+SUMIFS(Trips!$I$5:$I$1004,Trips!$B$5:$B$1004,$A25,Trips!$L$5:$L$1004,EDATE($B$3,-1))-SUMIFS(Trips!$J$5:$J$1004,Trips!$B$5:$B$1004,$A25,Trips!$L$5:$L$1004,EDATE($B$3,-1))-SUMIFS(Expenses!$E$5:$E$1004,Expenses!$B$5:$B$1004,$A25,Expenses!$G$5:$G$1004,EDATE($B$3,-1))-Fleet!$O$24*IF(AND(Fleet!$A$24&lt;&gt;"",N(Fleet!$E$24)&lt;=EOMONTH(EDATE($B$3,-1),0),OR(Fleet!$F$24="",N(Fleet!$F$24)&gt;=EDATE($B$3,-1))),1,0)))</f>
        <v/>
      </c>
      <c r="K25" s="45" t="str">
        <f aca="false">IF($A25="","",(SUMIFS(Trips!$H$5:$H$1004,Trips!$B$5:$B$1004,$A25,Trips!$L$5:$L$1004,EDATE($B$3,-2))+SUMIFS(Trips!$I$5:$I$1004,Trips!$B$5:$B$1004,$A25,Trips!$L$5:$L$1004,EDATE($B$3,-2))-SUMIFS(Trips!$J$5:$J$1004,Trips!$B$5:$B$1004,$A25,Trips!$L$5:$L$1004,EDATE($B$3,-2))-SUMIFS(Expenses!$E$5:$E$1004,Expenses!$B$5:$B$1004,$A25,Expenses!$G$5:$G$1004,EDATE($B$3,-2))-Fleet!$O$24*IF(AND(Fleet!$A$24&lt;&gt;"",N(Fleet!$E$24)&lt;=EOMONTH(EDATE($B$3,-2),0),OR(Fleet!$F$24="",N(Fleet!$F$24)&gt;=EDATE($B$3,-2))),1,0)))</f>
        <v/>
      </c>
      <c r="L25" s="45" t="str">
        <f aca="false">IF($A25="","",SUMIFS(Trips!$M$5:$M$1004,Trips!$B$5:$B$1004,$A25,Trips!$L$5:$L$1004,"&lt;="&amp;$B$3)-SUMIFS(Expenses!$E$5:$E$1004,Expenses!$B$5:$B$1004,$A25,Expenses!$G$5:$G$1004,"&lt;="&amp;$B$3)-Fleet!$O$24*IF(N(Fleet!$E$24)=0,0,MAX(0,(YEAR(IF(Fleet!$F$24="",EOMONTH($B$3,0),MIN(Fleet!$F$24,EOMONTH($B$3,0))))-YEAR(Fleet!$E$24))*12+MONTH(IF(Fleet!$F$24="",EOMONTH($B$3,0),MIN(Fleet!$F$24,EOMONTH($B$3,0))))-MONTH(Fleet!$E$24)+1)))</f>
        <v/>
      </c>
      <c r="M25" s="46" t="str">
        <f aca="false">IF($A25="","",Fleet!$H$24)</f>
        <v/>
      </c>
      <c r="N25" s="44" t="str">
        <f aca="false">IF(OR($A25="",N(M25)=0),"",L25/M25)</f>
        <v/>
      </c>
      <c r="O25" s="2" t="str">
        <f aca="false">IF(OR($A25="",N(C25)=0),"",IF(AND(I25&lt;0,J25&lt;0,K25&lt;0),"REVIEW: 3 losing months",IF(I25&lt;Assumptions!$B$9,"Below net target",IF(E25&lt;Assumptions!$B$8,"Low utilization","On track"))))</f>
        <v/>
      </c>
    </row>
    <row r="26" customFormat="false" ht="15" hidden="false" customHeight="false" outlineLevel="0" collapsed="false">
      <c r="A26" s="41" t="str">
        <f aca="false">IF(Fleet!A25="","",Fleet!A25)</f>
        <v/>
      </c>
      <c r="B26" s="41" t="str">
        <f aca="false">IF(Fleet!A25="","",Fleet!B25&amp;" "&amp;Fleet!C25)</f>
        <v/>
      </c>
      <c r="C26" s="42" t="str">
        <f aca="false">IF($A26="","",IF(AND(Fleet!$A$25&lt;&gt;"",N(Fleet!$E$25)&lt;=EOMONTH($B$3,0),OR(Fleet!$F$25="",N(Fleet!$F$25)&gt;=$B$3)),1,0))</f>
        <v/>
      </c>
      <c r="D26" s="43" t="str">
        <f aca="false">IF($A26="","",SUMIFS(Trips!$E$5:$E$1004,Trips!$B$5:$B$1004,$A26,Trips!$L$5:$L$1004,$B$3))</f>
        <v/>
      </c>
      <c r="E26" s="44" t="str">
        <f aca="false">IF(OR($A26="",N(C26)=0),"",D26/DAY(EOMONTH($B$3,0)))</f>
        <v/>
      </c>
      <c r="F26" s="45" t="str">
        <f aca="false">IF($A26="","",SUMIFS(Trips!$H$5:$H$1004,Trips!$B$5:$B$1004,$A26,Trips!$L$5:$L$1004,$B$3)+SUMIFS(Trips!$I$5:$I$1004,Trips!$B$5:$B$1004,$A26,Trips!$L$5:$L$1004,$B$3))</f>
        <v/>
      </c>
      <c r="G26" s="45" t="str">
        <f aca="false">IF($A26="","",SUMIFS(Trips!$J$5:$J$1004,Trips!$B$5:$B$1004,$A26,Trips!$L$5:$L$1004,$B$3)+SUMIFS(Expenses!$E$5:$E$1004,Expenses!$B$5:$B$1004,$A26,Expenses!$G$5:$G$1004,$B$3))</f>
        <v/>
      </c>
      <c r="H26" s="45" t="str">
        <f aca="false">IF($A26="","",Fleet!$O$25*C26)</f>
        <v/>
      </c>
      <c r="I26" s="45" t="str">
        <f aca="false">IF($A26="","",F26-G26-H26)</f>
        <v/>
      </c>
      <c r="J26" s="45" t="str">
        <f aca="false">IF($A26="","",(SUMIFS(Trips!$H$5:$H$1004,Trips!$B$5:$B$1004,$A26,Trips!$L$5:$L$1004,EDATE($B$3,-1))+SUMIFS(Trips!$I$5:$I$1004,Trips!$B$5:$B$1004,$A26,Trips!$L$5:$L$1004,EDATE($B$3,-1))-SUMIFS(Trips!$J$5:$J$1004,Trips!$B$5:$B$1004,$A26,Trips!$L$5:$L$1004,EDATE($B$3,-1))-SUMIFS(Expenses!$E$5:$E$1004,Expenses!$B$5:$B$1004,$A26,Expenses!$G$5:$G$1004,EDATE($B$3,-1))-Fleet!$O$25*IF(AND(Fleet!$A$25&lt;&gt;"",N(Fleet!$E$25)&lt;=EOMONTH(EDATE($B$3,-1),0),OR(Fleet!$F$25="",N(Fleet!$F$25)&gt;=EDATE($B$3,-1))),1,0)))</f>
        <v/>
      </c>
      <c r="K26" s="45" t="str">
        <f aca="false">IF($A26="","",(SUMIFS(Trips!$H$5:$H$1004,Trips!$B$5:$B$1004,$A26,Trips!$L$5:$L$1004,EDATE($B$3,-2))+SUMIFS(Trips!$I$5:$I$1004,Trips!$B$5:$B$1004,$A26,Trips!$L$5:$L$1004,EDATE($B$3,-2))-SUMIFS(Trips!$J$5:$J$1004,Trips!$B$5:$B$1004,$A26,Trips!$L$5:$L$1004,EDATE($B$3,-2))-SUMIFS(Expenses!$E$5:$E$1004,Expenses!$B$5:$B$1004,$A26,Expenses!$G$5:$G$1004,EDATE($B$3,-2))-Fleet!$O$25*IF(AND(Fleet!$A$25&lt;&gt;"",N(Fleet!$E$25)&lt;=EOMONTH(EDATE($B$3,-2),0),OR(Fleet!$F$25="",N(Fleet!$F$25)&gt;=EDATE($B$3,-2))),1,0)))</f>
        <v/>
      </c>
      <c r="L26" s="45" t="str">
        <f aca="false">IF($A26="","",SUMIFS(Trips!$M$5:$M$1004,Trips!$B$5:$B$1004,$A26,Trips!$L$5:$L$1004,"&lt;="&amp;$B$3)-SUMIFS(Expenses!$E$5:$E$1004,Expenses!$B$5:$B$1004,$A26,Expenses!$G$5:$G$1004,"&lt;="&amp;$B$3)-Fleet!$O$25*IF(N(Fleet!$E$25)=0,0,MAX(0,(YEAR(IF(Fleet!$F$25="",EOMONTH($B$3,0),MIN(Fleet!$F$25,EOMONTH($B$3,0))))-YEAR(Fleet!$E$25))*12+MONTH(IF(Fleet!$F$25="",EOMONTH($B$3,0),MIN(Fleet!$F$25,EOMONTH($B$3,0))))-MONTH(Fleet!$E$25)+1)))</f>
        <v/>
      </c>
      <c r="M26" s="46" t="str">
        <f aca="false">IF($A26="","",Fleet!$H$25)</f>
        <v/>
      </c>
      <c r="N26" s="44" t="str">
        <f aca="false">IF(OR($A26="",N(M26)=0),"",L26/M26)</f>
        <v/>
      </c>
      <c r="O26" s="2" t="str">
        <f aca="false">IF(OR($A26="",N(C26)=0),"",IF(AND(I26&lt;0,J26&lt;0,K26&lt;0),"REVIEW: 3 losing months",IF(I26&lt;Assumptions!$B$9,"Below net target",IF(E26&lt;Assumptions!$B$8,"Low utilization","On track"))))</f>
        <v/>
      </c>
    </row>
    <row r="27" customFormat="false" ht="15" hidden="false" customHeight="false" outlineLevel="0" collapsed="false">
      <c r="A27" s="41" t="str">
        <f aca="false">IF(Fleet!A26="","",Fleet!A26)</f>
        <v/>
      </c>
      <c r="B27" s="41" t="str">
        <f aca="false">IF(Fleet!A26="","",Fleet!B26&amp;" "&amp;Fleet!C26)</f>
        <v/>
      </c>
      <c r="C27" s="42" t="str">
        <f aca="false">IF($A27="","",IF(AND(Fleet!$A$26&lt;&gt;"",N(Fleet!$E$26)&lt;=EOMONTH($B$3,0),OR(Fleet!$F$26="",N(Fleet!$F$26)&gt;=$B$3)),1,0))</f>
        <v/>
      </c>
      <c r="D27" s="43" t="str">
        <f aca="false">IF($A27="","",SUMIFS(Trips!$E$5:$E$1004,Trips!$B$5:$B$1004,$A27,Trips!$L$5:$L$1004,$B$3))</f>
        <v/>
      </c>
      <c r="E27" s="44" t="str">
        <f aca="false">IF(OR($A27="",N(C27)=0),"",D27/DAY(EOMONTH($B$3,0)))</f>
        <v/>
      </c>
      <c r="F27" s="45" t="str">
        <f aca="false">IF($A27="","",SUMIFS(Trips!$H$5:$H$1004,Trips!$B$5:$B$1004,$A27,Trips!$L$5:$L$1004,$B$3)+SUMIFS(Trips!$I$5:$I$1004,Trips!$B$5:$B$1004,$A27,Trips!$L$5:$L$1004,$B$3))</f>
        <v/>
      </c>
      <c r="G27" s="45" t="str">
        <f aca="false">IF($A27="","",SUMIFS(Trips!$J$5:$J$1004,Trips!$B$5:$B$1004,$A27,Trips!$L$5:$L$1004,$B$3)+SUMIFS(Expenses!$E$5:$E$1004,Expenses!$B$5:$B$1004,$A27,Expenses!$G$5:$G$1004,$B$3))</f>
        <v/>
      </c>
      <c r="H27" s="45" t="str">
        <f aca="false">IF($A27="","",Fleet!$O$26*C27)</f>
        <v/>
      </c>
      <c r="I27" s="45" t="str">
        <f aca="false">IF($A27="","",F27-G27-H27)</f>
        <v/>
      </c>
      <c r="J27" s="45" t="str">
        <f aca="false">IF($A27="","",(SUMIFS(Trips!$H$5:$H$1004,Trips!$B$5:$B$1004,$A27,Trips!$L$5:$L$1004,EDATE($B$3,-1))+SUMIFS(Trips!$I$5:$I$1004,Trips!$B$5:$B$1004,$A27,Trips!$L$5:$L$1004,EDATE($B$3,-1))-SUMIFS(Trips!$J$5:$J$1004,Trips!$B$5:$B$1004,$A27,Trips!$L$5:$L$1004,EDATE($B$3,-1))-SUMIFS(Expenses!$E$5:$E$1004,Expenses!$B$5:$B$1004,$A27,Expenses!$G$5:$G$1004,EDATE($B$3,-1))-Fleet!$O$26*IF(AND(Fleet!$A$26&lt;&gt;"",N(Fleet!$E$26)&lt;=EOMONTH(EDATE($B$3,-1),0),OR(Fleet!$F$26="",N(Fleet!$F$26)&gt;=EDATE($B$3,-1))),1,0)))</f>
        <v/>
      </c>
      <c r="K27" s="45" t="str">
        <f aca="false">IF($A27="","",(SUMIFS(Trips!$H$5:$H$1004,Trips!$B$5:$B$1004,$A27,Trips!$L$5:$L$1004,EDATE($B$3,-2))+SUMIFS(Trips!$I$5:$I$1004,Trips!$B$5:$B$1004,$A27,Trips!$L$5:$L$1004,EDATE($B$3,-2))-SUMIFS(Trips!$J$5:$J$1004,Trips!$B$5:$B$1004,$A27,Trips!$L$5:$L$1004,EDATE($B$3,-2))-SUMIFS(Expenses!$E$5:$E$1004,Expenses!$B$5:$B$1004,$A27,Expenses!$G$5:$G$1004,EDATE($B$3,-2))-Fleet!$O$26*IF(AND(Fleet!$A$26&lt;&gt;"",N(Fleet!$E$26)&lt;=EOMONTH(EDATE($B$3,-2),0),OR(Fleet!$F$26="",N(Fleet!$F$26)&gt;=EDATE($B$3,-2))),1,0)))</f>
        <v/>
      </c>
      <c r="L27" s="45" t="str">
        <f aca="false">IF($A27="","",SUMIFS(Trips!$M$5:$M$1004,Trips!$B$5:$B$1004,$A27,Trips!$L$5:$L$1004,"&lt;="&amp;$B$3)-SUMIFS(Expenses!$E$5:$E$1004,Expenses!$B$5:$B$1004,$A27,Expenses!$G$5:$G$1004,"&lt;="&amp;$B$3)-Fleet!$O$26*IF(N(Fleet!$E$26)=0,0,MAX(0,(YEAR(IF(Fleet!$F$26="",EOMONTH($B$3,0),MIN(Fleet!$F$26,EOMONTH($B$3,0))))-YEAR(Fleet!$E$26))*12+MONTH(IF(Fleet!$F$26="",EOMONTH($B$3,0),MIN(Fleet!$F$26,EOMONTH($B$3,0))))-MONTH(Fleet!$E$26)+1)))</f>
        <v/>
      </c>
      <c r="M27" s="46" t="str">
        <f aca="false">IF($A27="","",Fleet!$H$26)</f>
        <v/>
      </c>
      <c r="N27" s="44" t="str">
        <f aca="false">IF(OR($A27="",N(M27)=0),"",L27/M27)</f>
        <v/>
      </c>
      <c r="O27" s="2" t="str">
        <f aca="false">IF(OR($A27="",N(C27)=0),"",IF(AND(I27&lt;0,J27&lt;0,K27&lt;0),"REVIEW: 3 losing months",IF(I27&lt;Assumptions!$B$9,"Below net target",IF(E27&lt;Assumptions!$B$8,"Low utilization","On track"))))</f>
        <v/>
      </c>
    </row>
    <row r="28" customFormat="false" ht="15" hidden="false" customHeight="false" outlineLevel="0" collapsed="false">
      <c r="A28" s="41" t="str">
        <f aca="false">IF(Fleet!A27="","",Fleet!A27)</f>
        <v/>
      </c>
      <c r="B28" s="41" t="str">
        <f aca="false">IF(Fleet!A27="","",Fleet!B27&amp;" "&amp;Fleet!C27)</f>
        <v/>
      </c>
      <c r="C28" s="42" t="str">
        <f aca="false">IF($A28="","",IF(AND(Fleet!$A$27&lt;&gt;"",N(Fleet!$E$27)&lt;=EOMONTH($B$3,0),OR(Fleet!$F$27="",N(Fleet!$F$27)&gt;=$B$3)),1,0))</f>
        <v/>
      </c>
      <c r="D28" s="43" t="str">
        <f aca="false">IF($A28="","",SUMIFS(Trips!$E$5:$E$1004,Trips!$B$5:$B$1004,$A28,Trips!$L$5:$L$1004,$B$3))</f>
        <v/>
      </c>
      <c r="E28" s="44" t="str">
        <f aca="false">IF(OR($A28="",N(C28)=0),"",D28/DAY(EOMONTH($B$3,0)))</f>
        <v/>
      </c>
      <c r="F28" s="45" t="str">
        <f aca="false">IF($A28="","",SUMIFS(Trips!$H$5:$H$1004,Trips!$B$5:$B$1004,$A28,Trips!$L$5:$L$1004,$B$3)+SUMIFS(Trips!$I$5:$I$1004,Trips!$B$5:$B$1004,$A28,Trips!$L$5:$L$1004,$B$3))</f>
        <v/>
      </c>
      <c r="G28" s="45" t="str">
        <f aca="false">IF($A28="","",SUMIFS(Trips!$J$5:$J$1004,Trips!$B$5:$B$1004,$A28,Trips!$L$5:$L$1004,$B$3)+SUMIFS(Expenses!$E$5:$E$1004,Expenses!$B$5:$B$1004,$A28,Expenses!$G$5:$G$1004,$B$3))</f>
        <v/>
      </c>
      <c r="H28" s="45" t="str">
        <f aca="false">IF($A28="","",Fleet!$O$27*C28)</f>
        <v/>
      </c>
      <c r="I28" s="45" t="str">
        <f aca="false">IF($A28="","",F28-G28-H28)</f>
        <v/>
      </c>
      <c r="J28" s="45" t="str">
        <f aca="false">IF($A28="","",(SUMIFS(Trips!$H$5:$H$1004,Trips!$B$5:$B$1004,$A28,Trips!$L$5:$L$1004,EDATE($B$3,-1))+SUMIFS(Trips!$I$5:$I$1004,Trips!$B$5:$B$1004,$A28,Trips!$L$5:$L$1004,EDATE($B$3,-1))-SUMIFS(Trips!$J$5:$J$1004,Trips!$B$5:$B$1004,$A28,Trips!$L$5:$L$1004,EDATE($B$3,-1))-SUMIFS(Expenses!$E$5:$E$1004,Expenses!$B$5:$B$1004,$A28,Expenses!$G$5:$G$1004,EDATE($B$3,-1))-Fleet!$O$27*IF(AND(Fleet!$A$27&lt;&gt;"",N(Fleet!$E$27)&lt;=EOMONTH(EDATE($B$3,-1),0),OR(Fleet!$F$27="",N(Fleet!$F$27)&gt;=EDATE($B$3,-1))),1,0)))</f>
        <v/>
      </c>
      <c r="K28" s="45" t="str">
        <f aca="false">IF($A28="","",(SUMIFS(Trips!$H$5:$H$1004,Trips!$B$5:$B$1004,$A28,Trips!$L$5:$L$1004,EDATE($B$3,-2))+SUMIFS(Trips!$I$5:$I$1004,Trips!$B$5:$B$1004,$A28,Trips!$L$5:$L$1004,EDATE($B$3,-2))-SUMIFS(Trips!$J$5:$J$1004,Trips!$B$5:$B$1004,$A28,Trips!$L$5:$L$1004,EDATE($B$3,-2))-SUMIFS(Expenses!$E$5:$E$1004,Expenses!$B$5:$B$1004,$A28,Expenses!$G$5:$G$1004,EDATE($B$3,-2))-Fleet!$O$27*IF(AND(Fleet!$A$27&lt;&gt;"",N(Fleet!$E$27)&lt;=EOMONTH(EDATE($B$3,-2),0),OR(Fleet!$F$27="",N(Fleet!$F$27)&gt;=EDATE($B$3,-2))),1,0)))</f>
        <v/>
      </c>
      <c r="L28" s="45" t="str">
        <f aca="false">IF($A28="","",SUMIFS(Trips!$M$5:$M$1004,Trips!$B$5:$B$1004,$A28,Trips!$L$5:$L$1004,"&lt;="&amp;$B$3)-SUMIFS(Expenses!$E$5:$E$1004,Expenses!$B$5:$B$1004,$A28,Expenses!$G$5:$G$1004,"&lt;="&amp;$B$3)-Fleet!$O$27*IF(N(Fleet!$E$27)=0,0,MAX(0,(YEAR(IF(Fleet!$F$27="",EOMONTH($B$3,0),MIN(Fleet!$F$27,EOMONTH($B$3,0))))-YEAR(Fleet!$E$27))*12+MONTH(IF(Fleet!$F$27="",EOMONTH($B$3,0),MIN(Fleet!$F$27,EOMONTH($B$3,0))))-MONTH(Fleet!$E$27)+1)))</f>
        <v/>
      </c>
      <c r="M28" s="46" t="str">
        <f aca="false">IF($A28="","",Fleet!$H$27)</f>
        <v/>
      </c>
      <c r="N28" s="44" t="str">
        <f aca="false">IF(OR($A28="",N(M28)=0),"",L28/M28)</f>
        <v/>
      </c>
      <c r="O28" s="2" t="str">
        <f aca="false">IF(OR($A28="",N(C28)=0),"",IF(AND(I28&lt;0,J28&lt;0,K28&lt;0),"REVIEW: 3 losing months",IF(I28&lt;Assumptions!$B$9,"Below net target",IF(E28&lt;Assumptions!$B$8,"Low utilization","On track"))))</f>
        <v/>
      </c>
    </row>
    <row r="29" customFormat="false" ht="15" hidden="false" customHeight="false" outlineLevel="0" collapsed="false">
      <c r="A29" s="41" t="str">
        <f aca="false">IF(Fleet!A28="","",Fleet!A28)</f>
        <v/>
      </c>
      <c r="B29" s="41" t="str">
        <f aca="false">IF(Fleet!A28="","",Fleet!B28&amp;" "&amp;Fleet!C28)</f>
        <v/>
      </c>
      <c r="C29" s="42" t="str">
        <f aca="false">IF($A29="","",IF(AND(Fleet!$A$28&lt;&gt;"",N(Fleet!$E$28)&lt;=EOMONTH($B$3,0),OR(Fleet!$F$28="",N(Fleet!$F$28)&gt;=$B$3)),1,0))</f>
        <v/>
      </c>
      <c r="D29" s="43" t="str">
        <f aca="false">IF($A29="","",SUMIFS(Trips!$E$5:$E$1004,Trips!$B$5:$B$1004,$A29,Trips!$L$5:$L$1004,$B$3))</f>
        <v/>
      </c>
      <c r="E29" s="44" t="str">
        <f aca="false">IF(OR($A29="",N(C29)=0),"",D29/DAY(EOMONTH($B$3,0)))</f>
        <v/>
      </c>
      <c r="F29" s="45" t="str">
        <f aca="false">IF($A29="","",SUMIFS(Trips!$H$5:$H$1004,Trips!$B$5:$B$1004,$A29,Trips!$L$5:$L$1004,$B$3)+SUMIFS(Trips!$I$5:$I$1004,Trips!$B$5:$B$1004,$A29,Trips!$L$5:$L$1004,$B$3))</f>
        <v/>
      </c>
      <c r="G29" s="45" t="str">
        <f aca="false">IF($A29="","",SUMIFS(Trips!$J$5:$J$1004,Trips!$B$5:$B$1004,$A29,Trips!$L$5:$L$1004,$B$3)+SUMIFS(Expenses!$E$5:$E$1004,Expenses!$B$5:$B$1004,$A29,Expenses!$G$5:$G$1004,$B$3))</f>
        <v/>
      </c>
      <c r="H29" s="45" t="str">
        <f aca="false">IF($A29="","",Fleet!$O$28*C29)</f>
        <v/>
      </c>
      <c r="I29" s="45" t="str">
        <f aca="false">IF($A29="","",F29-G29-H29)</f>
        <v/>
      </c>
      <c r="J29" s="45" t="str">
        <f aca="false">IF($A29="","",(SUMIFS(Trips!$H$5:$H$1004,Trips!$B$5:$B$1004,$A29,Trips!$L$5:$L$1004,EDATE($B$3,-1))+SUMIFS(Trips!$I$5:$I$1004,Trips!$B$5:$B$1004,$A29,Trips!$L$5:$L$1004,EDATE($B$3,-1))-SUMIFS(Trips!$J$5:$J$1004,Trips!$B$5:$B$1004,$A29,Trips!$L$5:$L$1004,EDATE($B$3,-1))-SUMIFS(Expenses!$E$5:$E$1004,Expenses!$B$5:$B$1004,$A29,Expenses!$G$5:$G$1004,EDATE($B$3,-1))-Fleet!$O$28*IF(AND(Fleet!$A$28&lt;&gt;"",N(Fleet!$E$28)&lt;=EOMONTH(EDATE($B$3,-1),0),OR(Fleet!$F$28="",N(Fleet!$F$28)&gt;=EDATE($B$3,-1))),1,0)))</f>
        <v/>
      </c>
      <c r="K29" s="45" t="str">
        <f aca="false">IF($A29="","",(SUMIFS(Trips!$H$5:$H$1004,Trips!$B$5:$B$1004,$A29,Trips!$L$5:$L$1004,EDATE($B$3,-2))+SUMIFS(Trips!$I$5:$I$1004,Trips!$B$5:$B$1004,$A29,Trips!$L$5:$L$1004,EDATE($B$3,-2))-SUMIFS(Trips!$J$5:$J$1004,Trips!$B$5:$B$1004,$A29,Trips!$L$5:$L$1004,EDATE($B$3,-2))-SUMIFS(Expenses!$E$5:$E$1004,Expenses!$B$5:$B$1004,$A29,Expenses!$G$5:$G$1004,EDATE($B$3,-2))-Fleet!$O$28*IF(AND(Fleet!$A$28&lt;&gt;"",N(Fleet!$E$28)&lt;=EOMONTH(EDATE($B$3,-2),0),OR(Fleet!$F$28="",N(Fleet!$F$28)&gt;=EDATE($B$3,-2))),1,0)))</f>
        <v/>
      </c>
      <c r="L29" s="45" t="str">
        <f aca="false">IF($A29="","",SUMIFS(Trips!$M$5:$M$1004,Trips!$B$5:$B$1004,$A29,Trips!$L$5:$L$1004,"&lt;="&amp;$B$3)-SUMIFS(Expenses!$E$5:$E$1004,Expenses!$B$5:$B$1004,$A29,Expenses!$G$5:$G$1004,"&lt;="&amp;$B$3)-Fleet!$O$28*IF(N(Fleet!$E$28)=0,0,MAX(0,(YEAR(IF(Fleet!$F$28="",EOMONTH($B$3,0),MIN(Fleet!$F$28,EOMONTH($B$3,0))))-YEAR(Fleet!$E$28))*12+MONTH(IF(Fleet!$F$28="",EOMONTH($B$3,0),MIN(Fleet!$F$28,EOMONTH($B$3,0))))-MONTH(Fleet!$E$28)+1)))</f>
        <v/>
      </c>
      <c r="M29" s="46" t="str">
        <f aca="false">IF($A29="","",Fleet!$H$28)</f>
        <v/>
      </c>
      <c r="N29" s="44" t="str">
        <f aca="false">IF(OR($A29="",N(M29)=0),"",L29/M29)</f>
        <v/>
      </c>
      <c r="O29" s="2" t="str">
        <f aca="false">IF(OR($A29="",N(C29)=0),"",IF(AND(I29&lt;0,J29&lt;0,K29&lt;0),"REVIEW: 3 losing months",IF(I29&lt;Assumptions!$B$9,"Below net target",IF(E29&lt;Assumptions!$B$8,"Low utilization","On track"))))</f>
        <v/>
      </c>
    </row>
    <row r="30" customFormat="false" ht="15" hidden="false" customHeight="false" outlineLevel="0" collapsed="false">
      <c r="A30" s="41" t="str">
        <f aca="false">IF(Fleet!A29="","",Fleet!A29)</f>
        <v/>
      </c>
      <c r="B30" s="41" t="str">
        <f aca="false">IF(Fleet!A29="","",Fleet!B29&amp;" "&amp;Fleet!C29)</f>
        <v/>
      </c>
      <c r="C30" s="42" t="str">
        <f aca="false">IF($A30="","",IF(AND(Fleet!$A$29&lt;&gt;"",N(Fleet!$E$29)&lt;=EOMONTH($B$3,0),OR(Fleet!$F$29="",N(Fleet!$F$29)&gt;=$B$3)),1,0))</f>
        <v/>
      </c>
      <c r="D30" s="43" t="str">
        <f aca="false">IF($A30="","",SUMIFS(Trips!$E$5:$E$1004,Trips!$B$5:$B$1004,$A30,Trips!$L$5:$L$1004,$B$3))</f>
        <v/>
      </c>
      <c r="E30" s="44" t="str">
        <f aca="false">IF(OR($A30="",N(C30)=0),"",D30/DAY(EOMONTH($B$3,0)))</f>
        <v/>
      </c>
      <c r="F30" s="45" t="str">
        <f aca="false">IF($A30="","",SUMIFS(Trips!$H$5:$H$1004,Trips!$B$5:$B$1004,$A30,Trips!$L$5:$L$1004,$B$3)+SUMIFS(Trips!$I$5:$I$1004,Trips!$B$5:$B$1004,$A30,Trips!$L$5:$L$1004,$B$3))</f>
        <v/>
      </c>
      <c r="G30" s="45" t="str">
        <f aca="false">IF($A30="","",SUMIFS(Trips!$J$5:$J$1004,Trips!$B$5:$B$1004,$A30,Trips!$L$5:$L$1004,$B$3)+SUMIFS(Expenses!$E$5:$E$1004,Expenses!$B$5:$B$1004,$A30,Expenses!$G$5:$G$1004,$B$3))</f>
        <v/>
      </c>
      <c r="H30" s="45" t="str">
        <f aca="false">IF($A30="","",Fleet!$O$29*C30)</f>
        <v/>
      </c>
      <c r="I30" s="45" t="str">
        <f aca="false">IF($A30="","",F30-G30-H30)</f>
        <v/>
      </c>
      <c r="J30" s="45" t="str">
        <f aca="false">IF($A30="","",(SUMIFS(Trips!$H$5:$H$1004,Trips!$B$5:$B$1004,$A30,Trips!$L$5:$L$1004,EDATE($B$3,-1))+SUMIFS(Trips!$I$5:$I$1004,Trips!$B$5:$B$1004,$A30,Trips!$L$5:$L$1004,EDATE($B$3,-1))-SUMIFS(Trips!$J$5:$J$1004,Trips!$B$5:$B$1004,$A30,Trips!$L$5:$L$1004,EDATE($B$3,-1))-SUMIFS(Expenses!$E$5:$E$1004,Expenses!$B$5:$B$1004,$A30,Expenses!$G$5:$G$1004,EDATE($B$3,-1))-Fleet!$O$29*IF(AND(Fleet!$A$29&lt;&gt;"",N(Fleet!$E$29)&lt;=EOMONTH(EDATE($B$3,-1),0),OR(Fleet!$F$29="",N(Fleet!$F$29)&gt;=EDATE($B$3,-1))),1,0)))</f>
        <v/>
      </c>
      <c r="K30" s="45" t="str">
        <f aca="false">IF($A30="","",(SUMIFS(Trips!$H$5:$H$1004,Trips!$B$5:$B$1004,$A30,Trips!$L$5:$L$1004,EDATE($B$3,-2))+SUMIFS(Trips!$I$5:$I$1004,Trips!$B$5:$B$1004,$A30,Trips!$L$5:$L$1004,EDATE($B$3,-2))-SUMIFS(Trips!$J$5:$J$1004,Trips!$B$5:$B$1004,$A30,Trips!$L$5:$L$1004,EDATE($B$3,-2))-SUMIFS(Expenses!$E$5:$E$1004,Expenses!$B$5:$B$1004,$A30,Expenses!$G$5:$G$1004,EDATE($B$3,-2))-Fleet!$O$29*IF(AND(Fleet!$A$29&lt;&gt;"",N(Fleet!$E$29)&lt;=EOMONTH(EDATE($B$3,-2),0),OR(Fleet!$F$29="",N(Fleet!$F$29)&gt;=EDATE($B$3,-2))),1,0)))</f>
        <v/>
      </c>
      <c r="L30" s="45" t="str">
        <f aca="false">IF($A30="","",SUMIFS(Trips!$M$5:$M$1004,Trips!$B$5:$B$1004,$A30,Trips!$L$5:$L$1004,"&lt;="&amp;$B$3)-SUMIFS(Expenses!$E$5:$E$1004,Expenses!$B$5:$B$1004,$A30,Expenses!$G$5:$G$1004,"&lt;="&amp;$B$3)-Fleet!$O$29*IF(N(Fleet!$E$29)=0,0,MAX(0,(YEAR(IF(Fleet!$F$29="",EOMONTH($B$3,0),MIN(Fleet!$F$29,EOMONTH($B$3,0))))-YEAR(Fleet!$E$29))*12+MONTH(IF(Fleet!$F$29="",EOMONTH($B$3,0),MIN(Fleet!$F$29,EOMONTH($B$3,0))))-MONTH(Fleet!$E$29)+1)))</f>
        <v/>
      </c>
      <c r="M30" s="46" t="str">
        <f aca="false">IF($A30="","",Fleet!$H$29)</f>
        <v/>
      </c>
      <c r="N30" s="44" t="str">
        <f aca="false">IF(OR($A30="",N(M30)=0),"",L30/M30)</f>
        <v/>
      </c>
      <c r="O30" s="2" t="str">
        <f aca="false">IF(OR($A30="",N(C30)=0),"",IF(AND(I30&lt;0,J30&lt;0,K30&lt;0),"REVIEW: 3 losing months",IF(I30&lt;Assumptions!$B$9,"Below net target",IF(E30&lt;Assumptions!$B$8,"Low utilization","On track"))))</f>
        <v/>
      </c>
    </row>
    <row r="31" customFormat="false" ht="15" hidden="false" customHeight="false" outlineLevel="0" collapsed="false">
      <c r="A31" s="41" t="str">
        <f aca="false">IF(Fleet!A30="","",Fleet!A30)</f>
        <v/>
      </c>
      <c r="B31" s="41" t="str">
        <f aca="false">IF(Fleet!A30="","",Fleet!B30&amp;" "&amp;Fleet!C30)</f>
        <v/>
      </c>
      <c r="C31" s="42" t="str">
        <f aca="false">IF($A31="","",IF(AND(Fleet!$A$30&lt;&gt;"",N(Fleet!$E$30)&lt;=EOMONTH($B$3,0),OR(Fleet!$F$30="",N(Fleet!$F$30)&gt;=$B$3)),1,0))</f>
        <v/>
      </c>
      <c r="D31" s="43" t="str">
        <f aca="false">IF($A31="","",SUMIFS(Trips!$E$5:$E$1004,Trips!$B$5:$B$1004,$A31,Trips!$L$5:$L$1004,$B$3))</f>
        <v/>
      </c>
      <c r="E31" s="44" t="str">
        <f aca="false">IF(OR($A31="",N(C31)=0),"",D31/DAY(EOMONTH($B$3,0)))</f>
        <v/>
      </c>
      <c r="F31" s="45" t="str">
        <f aca="false">IF($A31="","",SUMIFS(Trips!$H$5:$H$1004,Trips!$B$5:$B$1004,$A31,Trips!$L$5:$L$1004,$B$3)+SUMIFS(Trips!$I$5:$I$1004,Trips!$B$5:$B$1004,$A31,Trips!$L$5:$L$1004,$B$3))</f>
        <v/>
      </c>
      <c r="G31" s="45" t="str">
        <f aca="false">IF($A31="","",SUMIFS(Trips!$J$5:$J$1004,Trips!$B$5:$B$1004,$A31,Trips!$L$5:$L$1004,$B$3)+SUMIFS(Expenses!$E$5:$E$1004,Expenses!$B$5:$B$1004,$A31,Expenses!$G$5:$G$1004,$B$3))</f>
        <v/>
      </c>
      <c r="H31" s="45" t="str">
        <f aca="false">IF($A31="","",Fleet!$O$30*C31)</f>
        <v/>
      </c>
      <c r="I31" s="45" t="str">
        <f aca="false">IF($A31="","",F31-G31-H31)</f>
        <v/>
      </c>
      <c r="J31" s="45" t="str">
        <f aca="false">IF($A31="","",(SUMIFS(Trips!$H$5:$H$1004,Trips!$B$5:$B$1004,$A31,Trips!$L$5:$L$1004,EDATE($B$3,-1))+SUMIFS(Trips!$I$5:$I$1004,Trips!$B$5:$B$1004,$A31,Trips!$L$5:$L$1004,EDATE($B$3,-1))-SUMIFS(Trips!$J$5:$J$1004,Trips!$B$5:$B$1004,$A31,Trips!$L$5:$L$1004,EDATE($B$3,-1))-SUMIFS(Expenses!$E$5:$E$1004,Expenses!$B$5:$B$1004,$A31,Expenses!$G$5:$G$1004,EDATE($B$3,-1))-Fleet!$O$30*IF(AND(Fleet!$A$30&lt;&gt;"",N(Fleet!$E$30)&lt;=EOMONTH(EDATE($B$3,-1),0),OR(Fleet!$F$30="",N(Fleet!$F$30)&gt;=EDATE($B$3,-1))),1,0)))</f>
        <v/>
      </c>
      <c r="K31" s="45" t="str">
        <f aca="false">IF($A31="","",(SUMIFS(Trips!$H$5:$H$1004,Trips!$B$5:$B$1004,$A31,Trips!$L$5:$L$1004,EDATE($B$3,-2))+SUMIFS(Trips!$I$5:$I$1004,Trips!$B$5:$B$1004,$A31,Trips!$L$5:$L$1004,EDATE($B$3,-2))-SUMIFS(Trips!$J$5:$J$1004,Trips!$B$5:$B$1004,$A31,Trips!$L$5:$L$1004,EDATE($B$3,-2))-SUMIFS(Expenses!$E$5:$E$1004,Expenses!$B$5:$B$1004,$A31,Expenses!$G$5:$G$1004,EDATE($B$3,-2))-Fleet!$O$30*IF(AND(Fleet!$A$30&lt;&gt;"",N(Fleet!$E$30)&lt;=EOMONTH(EDATE($B$3,-2),0),OR(Fleet!$F$30="",N(Fleet!$F$30)&gt;=EDATE($B$3,-2))),1,0)))</f>
        <v/>
      </c>
      <c r="L31" s="45" t="str">
        <f aca="false">IF($A31="","",SUMIFS(Trips!$M$5:$M$1004,Trips!$B$5:$B$1004,$A31,Trips!$L$5:$L$1004,"&lt;="&amp;$B$3)-SUMIFS(Expenses!$E$5:$E$1004,Expenses!$B$5:$B$1004,$A31,Expenses!$G$5:$G$1004,"&lt;="&amp;$B$3)-Fleet!$O$30*IF(N(Fleet!$E$30)=0,0,MAX(0,(YEAR(IF(Fleet!$F$30="",EOMONTH($B$3,0),MIN(Fleet!$F$30,EOMONTH($B$3,0))))-YEAR(Fleet!$E$30))*12+MONTH(IF(Fleet!$F$30="",EOMONTH($B$3,0),MIN(Fleet!$F$30,EOMONTH($B$3,0))))-MONTH(Fleet!$E$30)+1)))</f>
        <v/>
      </c>
      <c r="M31" s="46" t="str">
        <f aca="false">IF($A31="","",Fleet!$H$30)</f>
        <v/>
      </c>
      <c r="N31" s="44" t="str">
        <f aca="false">IF(OR($A31="",N(M31)=0),"",L31/M31)</f>
        <v/>
      </c>
      <c r="O31" s="2" t="str">
        <f aca="false">IF(OR($A31="",N(C31)=0),"",IF(AND(I31&lt;0,J31&lt;0,K31&lt;0),"REVIEW: 3 losing months",IF(I31&lt;Assumptions!$B$9,"Below net target",IF(E31&lt;Assumptions!$B$8,"Low utilization","On track"))))</f>
        <v/>
      </c>
    </row>
    <row r="32" customFormat="false" ht="15" hidden="false" customHeight="false" outlineLevel="0" collapsed="false">
      <c r="A32" s="41" t="str">
        <f aca="false">IF(Fleet!A31="","",Fleet!A31)</f>
        <v/>
      </c>
      <c r="B32" s="41" t="str">
        <f aca="false">IF(Fleet!A31="","",Fleet!B31&amp;" "&amp;Fleet!C31)</f>
        <v/>
      </c>
      <c r="C32" s="42" t="str">
        <f aca="false">IF($A32="","",IF(AND(Fleet!$A$31&lt;&gt;"",N(Fleet!$E$31)&lt;=EOMONTH($B$3,0),OR(Fleet!$F$31="",N(Fleet!$F$31)&gt;=$B$3)),1,0))</f>
        <v/>
      </c>
      <c r="D32" s="43" t="str">
        <f aca="false">IF($A32="","",SUMIFS(Trips!$E$5:$E$1004,Trips!$B$5:$B$1004,$A32,Trips!$L$5:$L$1004,$B$3))</f>
        <v/>
      </c>
      <c r="E32" s="44" t="str">
        <f aca="false">IF(OR($A32="",N(C32)=0),"",D32/DAY(EOMONTH($B$3,0)))</f>
        <v/>
      </c>
      <c r="F32" s="45" t="str">
        <f aca="false">IF($A32="","",SUMIFS(Trips!$H$5:$H$1004,Trips!$B$5:$B$1004,$A32,Trips!$L$5:$L$1004,$B$3)+SUMIFS(Trips!$I$5:$I$1004,Trips!$B$5:$B$1004,$A32,Trips!$L$5:$L$1004,$B$3))</f>
        <v/>
      </c>
      <c r="G32" s="45" t="str">
        <f aca="false">IF($A32="","",SUMIFS(Trips!$J$5:$J$1004,Trips!$B$5:$B$1004,$A32,Trips!$L$5:$L$1004,$B$3)+SUMIFS(Expenses!$E$5:$E$1004,Expenses!$B$5:$B$1004,$A32,Expenses!$G$5:$G$1004,$B$3))</f>
        <v/>
      </c>
      <c r="H32" s="45" t="str">
        <f aca="false">IF($A32="","",Fleet!$O$31*C32)</f>
        <v/>
      </c>
      <c r="I32" s="45" t="str">
        <f aca="false">IF($A32="","",F32-G32-H32)</f>
        <v/>
      </c>
      <c r="J32" s="45" t="str">
        <f aca="false">IF($A32="","",(SUMIFS(Trips!$H$5:$H$1004,Trips!$B$5:$B$1004,$A32,Trips!$L$5:$L$1004,EDATE($B$3,-1))+SUMIFS(Trips!$I$5:$I$1004,Trips!$B$5:$B$1004,$A32,Trips!$L$5:$L$1004,EDATE($B$3,-1))-SUMIFS(Trips!$J$5:$J$1004,Trips!$B$5:$B$1004,$A32,Trips!$L$5:$L$1004,EDATE($B$3,-1))-SUMIFS(Expenses!$E$5:$E$1004,Expenses!$B$5:$B$1004,$A32,Expenses!$G$5:$G$1004,EDATE($B$3,-1))-Fleet!$O$31*IF(AND(Fleet!$A$31&lt;&gt;"",N(Fleet!$E$31)&lt;=EOMONTH(EDATE($B$3,-1),0),OR(Fleet!$F$31="",N(Fleet!$F$31)&gt;=EDATE($B$3,-1))),1,0)))</f>
        <v/>
      </c>
      <c r="K32" s="45" t="str">
        <f aca="false">IF($A32="","",(SUMIFS(Trips!$H$5:$H$1004,Trips!$B$5:$B$1004,$A32,Trips!$L$5:$L$1004,EDATE($B$3,-2))+SUMIFS(Trips!$I$5:$I$1004,Trips!$B$5:$B$1004,$A32,Trips!$L$5:$L$1004,EDATE($B$3,-2))-SUMIFS(Trips!$J$5:$J$1004,Trips!$B$5:$B$1004,$A32,Trips!$L$5:$L$1004,EDATE($B$3,-2))-SUMIFS(Expenses!$E$5:$E$1004,Expenses!$B$5:$B$1004,$A32,Expenses!$G$5:$G$1004,EDATE($B$3,-2))-Fleet!$O$31*IF(AND(Fleet!$A$31&lt;&gt;"",N(Fleet!$E$31)&lt;=EOMONTH(EDATE($B$3,-2),0),OR(Fleet!$F$31="",N(Fleet!$F$31)&gt;=EDATE($B$3,-2))),1,0)))</f>
        <v/>
      </c>
      <c r="L32" s="45" t="str">
        <f aca="false">IF($A32="","",SUMIFS(Trips!$M$5:$M$1004,Trips!$B$5:$B$1004,$A32,Trips!$L$5:$L$1004,"&lt;="&amp;$B$3)-SUMIFS(Expenses!$E$5:$E$1004,Expenses!$B$5:$B$1004,$A32,Expenses!$G$5:$G$1004,"&lt;="&amp;$B$3)-Fleet!$O$31*IF(N(Fleet!$E$31)=0,0,MAX(0,(YEAR(IF(Fleet!$F$31="",EOMONTH($B$3,0),MIN(Fleet!$F$31,EOMONTH($B$3,0))))-YEAR(Fleet!$E$31))*12+MONTH(IF(Fleet!$F$31="",EOMONTH($B$3,0),MIN(Fleet!$F$31,EOMONTH($B$3,0))))-MONTH(Fleet!$E$31)+1)))</f>
        <v/>
      </c>
      <c r="M32" s="46" t="str">
        <f aca="false">IF($A32="","",Fleet!$H$31)</f>
        <v/>
      </c>
      <c r="N32" s="44" t="str">
        <f aca="false">IF(OR($A32="",N(M32)=0),"",L32/M32)</f>
        <v/>
      </c>
      <c r="O32" s="2" t="str">
        <f aca="false">IF(OR($A32="",N(C32)=0),"",IF(AND(I32&lt;0,J32&lt;0,K32&lt;0),"REVIEW: 3 losing months",IF(I32&lt;Assumptions!$B$9,"Below net target",IF(E32&lt;Assumptions!$B$8,"Low utilization","On track"))))</f>
        <v/>
      </c>
    </row>
    <row r="33" customFormat="false" ht="15" hidden="false" customHeight="false" outlineLevel="0" collapsed="false">
      <c r="A33" s="41" t="str">
        <f aca="false">IF(Fleet!A32="","",Fleet!A32)</f>
        <v/>
      </c>
      <c r="B33" s="41" t="str">
        <f aca="false">IF(Fleet!A32="","",Fleet!B32&amp;" "&amp;Fleet!C32)</f>
        <v/>
      </c>
      <c r="C33" s="42" t="str">
        <f aca="false">IF($A33="","",IF(AND(Fleet!$A$32&lt;&gt;"",N(Fleet!$E$32)&lt;=EOMONTH($B$3,0),OR(Fleet!$F$32="",N(Fleet!$F$32)&gt;=$B$3)),1,0))</f>
        <v/>
      </c>
      <c r="D33" s="43" t="str">
        <f aca="false">IF($A33="","",SUMIFS(Trips!$E$5:$E$1004,Trips!$B$5:$B$1004,$A33,Trips!$L$5:$L$1004,$B$3))</f>
        <v/>
      </c>
      <c r="E33" s="44" t="str">
        <f aca="false">IF(OR($A33="",N(C33)=0),"",D33/DAY(EOMONTH($B$3,0)))</f>
        <v/>
      </c>
      <c r="F33" s="45" t="str">
        <f aca="false">IF($A33="","",SUMIFS(Trips!$H$5:$H$1004,Trips!$B$5:$B$1004,$A33,Trips!$L$5:$L$1004,$B$3)+SUMIFS(Trips!$I$5:$I$1004,Trips!$B$5:$B$1004,$A33,Trips!$L$5:$L$1004,$B$3))</f>
        <v/>
      </c>
      <c r="G33" s="45" t="str">
        <f aca="false">IF($A33="","",SUMIFS(Trips!$J$5:$J$1004,Trips!$B$5:$B$1004,$A33,Trips!$L$5:$L$1004,$B$3)+SUMIFS(Expenses!$E$5:$E$1004,Expenses!$B$5:$B$1004,$A33,Expenses!$G$5:$G$1004,$B$3))</f>
        <v/>
      </c>
      <c r="H33" s="45" t="str">
        <f aca="false">IF($A33="","",Fleet!$O$32*C33)</f>
        <v/>
      </c>
      <c r="I33" s="45" t="str">
        <f aca="false">IF($A33="","",F33-G33-H33)</f>
        <v/>
      </c>
      <c r="J33" s="45" t="str">
        <f aca="false">IF($A33="","",(SUMIFS(Trips!$H$5:$H$1004,Trips!$B$5:$B$1004,$A33,Trips!$L$5:$L$1004,EDATE($B$3,-1))+SUMIFS(Trips!$I$5:$I$1004,Trips!$B$5:$B$1004,$A33,Trips!$L$5:$L$1004,EDATE($B$3,-1))-SUMIFS(Trips!$J$5:$J$1004,Trips!$B$5:$B$1004,$A33,Trips!$L$5:$L$1004,EDATE($B$3,-1))-SUMIFS(Expenses!$E$5:$E$1004,Expenses!$B$5:$B$1004,$A33,Expenses!$G$5:$G$1004,EDATE($B$3,-1))-Fleet!$O$32*IF(AND(Fleet!$A$32&lt;&gt;"",N(Fleet!$E$32)&lt;=EOMONTH(EDATE($B$3,-1),0),OR(Fleet!$F$32="",N(Fleet!$F$32)&gt;=EDATE($B$3,-1))),1,0)))</f>
        <v/>
      </c>
      <c r="K33" s="45" t="str">
        <f aca="false">IF($A33="","",(SUMIFS(Trips!$H$5:$H$1004,Trips!$B$5:$B$1004,$A33,Trips!$L$5:$L$1004,EDATE($B$3,-2))+SUMIFS(Trips!$I$5:$I$1004,Trips!$B$5:$B$1004,$A33,Trips!$L$5:$L$1004,EDATE($B$3,-2))-SUMIFS(Trips!$J$5:$J$1004,Trips!$B$5:$B$1004,$A33,Trips!$L$5:$L$1004,EDATE($B$3,-2))-SUMIFS(Expenses!$E$5:$E$1004,Expenses!$B$5:$B$1004,$A33,Expenses!$G$5:$G$1004,EDATE($B$3,-2))-Fleet!$O$32*IF(AND(Fleet!$A$32&lt;&gt;"",N(Fleet!$E$32)&lt;=EOMONTH(EDATE($B$3,-2),0),OR(Fleet!$F$32="",N(Fleet!$F$32)&gt;=EDATE($B$3,-2))),1,0)))</f>
        <v/>
      </c>
      <c r="L33" s="45" t="str">
        <f aca="false">IF($A33="","",SUMIFS(Trips!$M$5:$M$1004,Trips!$B$5:$B$1004,$A33,Trips!$L$5:$L$1004,"&lt;="&amp;$B$3)-SUMIFS(Expenses!$E$5:$E$1004,Expenses!$B$5:$B$1004,$A33,Expenses!$G$5:$G$1004,"&lt;="&amp;$B$3)-Fleet!$O$32*IF(N(Fleet!$E$32)=0,0,MAX(0,(YEAR(IF(Fleet!$F$32="",EOMONTH($B$3,0),MIN(Fleet!$F$32,EOMONTH($B$3,0))))-YEAR(Fleet!$E$32))*12+MONTH(IF(Fleet!$F$32="",EOMONTH($B$3,0),MIN(Fleet!$F$32,EOMONTH($B$3,0))))-MONTH(Fleet!$E$32)+1)))</f>
        <v/>
      </c>
      <c r="M33" s="46" t="str">
        <f aca="false">IF($A33="","",Fleet!$H$32)</f>
        <v/>
      </c>
      <c r="N33" s="44" t="str">
        <f aca="false">IF(OR($A33="",N(M33)=0),"",L33/M33)</f>
        <v/>
      </c>
      <c r="O33" s="2" t="str">
        <f aca="false">IF(OR($A33="",N(C33)=0),"",IF(AND(I33&lt;0,J33&lt;0,K33&lt;0),"REVIEW: 3 losing months",IF(I33&lt;Assumptions!$B$9,"Below net target",IF(E33&lt;Assumptions!$B$8,"Low utilization","On track"))))</f>
        <v/>
      </c>
    </row>
    <row r="34" customFormat="false" ht="15" hidden="false" customHeight="false" outlineLevel="0" collapsed="false">
      <c r="A34" s="41" t="str">
        <f aca="false">IF(Fleet!A33="","",Fleet!A33)</f>
        <v/>
      </c>
      <c r="B34" s="41" t="str">
        <f aca="false">IF(Fleet!A33="","",Fleet!B33&amp;" "&amp;Fleet!C33)</f>
        <v/>
      </c>
      <c r="C34" s="42" t="str">
        <f aca="false">IF($A34="","",IF(AND(Fleet!$A$33&lt;&gt;"",N(Fleet!$E$33)&lt;=EOMONTH($B$3,0),OR(Fleet!$F$33="",N(Fleet!$F$33)&gt;=$B$3)),1,0))</f>
        <v/>
      </c>
      <c r="D34" s="43" t="str">
        <f aca="false">IF($A34="","",SUMIFS(Trips!$E$5:$E$1004,Trips!$B$5:$B$1004,$A34,Trips!$L$5:$L$1004,$B$3))</f>
        <v/>
      </c>
      <c r="E34" s="44" t="str">
        <f aca="false">IF(OR($A34="",N(C34)=0),"",D34/DAY(EOMONTH($B$3,0)))</f>
        <v/>
      </c>
      <c r="F34" s="45" t="str">
        <f aca="false">IF($A34="","",SUMIFS(Trips!$H$5:$H$1004,Trips!$B$5:$B$1004,$A34,Trips!$L$5:$L$1004,$B$3)+SUMIFS(Trips!$I$5:$I$1004,Trips!$B$5:$B$1004,$A34,Trips!$L$5:$L$1004,$B$3))</f>
        <v/>
      </c>
      <c r="G34" s="45" t="str">
        <f aca="false">IF($A34="","",SUMIFS(Trips!$J$5:$J$1004,Trips!$B$5:$B$1004,$A34,Trips!$L$5:$L$1004,$B$3)+SUMIFS(Expenses!$E$5:$E$1004,Expenses!$B$5:$B$1004,$A34,Expenses!$G$5:$G$1004,$B$3))</f>
        <v/>
      </c>
      <c r="H34" s="45" t="str">
        <f aca="false">IF($A34="","",Fleet!$O$33*C34)</f>
        <v/>
      </c>
      <c r="I34" s="45" t="str">
        <f aca="false">IF($A34="","",F34-G34-H34)</f>
        <v/>
      </c>
      <c r="J34" s="45" t="str">
        <f aca="false">IF($A34="","",(SUMIFS(Trips!$H$5:$H$1004,Trips!$B$5:$B$1004,$A34,Trips!$L$5:$L$1004,EDATE($B$3,-1))+SUMIFS(Trips!$I$5:$I$1004,Trips!$B$5:$B$1004,$A34,Trips!$L$5:$L$1004,EDATE($B$3,-1))-SUMIFS(Trips!$J$5:$J$1004,Trips!$B$5:$B$1004,$A34,Trips!$L$5:$L$1004,EDATE($B$3,-1))-SUMIFS(Expenses!$E$5:$E$1004,Expenses!$B$5:$B$1004,$A34,Expenses!$G$5:$G$1004,EDATE($B$3,-1))-Fleet!$O$33*IF(AND(Fleet!$A$33&lt;&gt;"",N(Fleet!$E$33)&lt;=EOMONTH(EDATE($B$3,-1),0),OR(Fleet!$F$33="",N(Fleet!$F$33)&gt;=EDATE($B$3,-1))),1,0)))</f>
        <v/>
      </c>
      <c r="K34" s="45" t="str">
        <f aca="false">IF($A34="","",(SUMIFS(Trips!$H$5:$H$1004,Trips!$B$5:$B$1004,$A34,Trips!$L$5:$L$1004,EDATE($B$3,-2))+SUMIFS(Trips!$I$5:$I$1004,Trips!$B$5:$B$1004,$A34,Trips!$L$5:$L$1004,EDATE($B$3,-2))-SUMIFS(Trips!$J$5:$J$1004,Trips!$B$5:$B$1004,$A34,Trips!$L$5:$L$1004,EDATE($B$3,-2))-SUMIFS(Expenses!$E$5:$E$1004,Expenses!$B$5:$B$1004,$A34,Expenses!$G$5:$G$1004,EDATE($B$3,-2))-Fleet!$O$33*IF(AND(Fleet!$A$33&lt;&gt;"",N(Fleet!$E$33)&lt;=EOMONTH(EDATE($B$3,-2),0),OR(Fleet!$F$33="",N(Fleet!$F$33)&gt;=EDATE($B$3,-2))),1,0)))</f>
        <v/>
      </c>
      <c r="L34" s="45" t="str">
        <f aca="false">IF($A34="","",SUMIFS(Trips!$M$5:$M$1004,Trips!$B$5:$B$1004,$A34,Trips!$L$5:$L$1004,"&lt;="&amp;$B$3)-SUMIFS(Expenses!$E$5:$E$1004,Expenses!$B$5:$B$1004,$A34,Expenses!$G$5:$G$1004,"&lt;="&amp;$B$3)-Fleet!$O$33*IF(N(Fleet!$E$33)=0,0,MAX(0,(YEAR(IF(Fleet!$F$33="",EOMONTH($B$3,0),MIN(Fleet!$F$33,EOMONTH($B$3,0))))-YEAR(Fleet!$E$33))*12+MONTH(IF(Fleet!$F$33="",EOMONTH($B$3,0),MIN(Fleet!$F$33,EOMONTH($B$3,0))))-MONTH(Fleet!$E$33)+1)))</f>
        <v/>
      </c>
      <c r="M34" s="46" t="str">
        <f aca="false">IF($A34="","",Fleet!$H$33)</f>
        <v/>
      </c>
      <c r="N34" s="44" t="str">
        <f aca="false">IF(OR($A34="",N(M34)=0),"",L34/M34)</f>
        <v/>
      </c>
      <c r="O34" s="2" t="str">
        <f aca="false">IF(OR($A34="",N(C34)=0),"",IF(AND(I34&lt;0,J34&lt;0,K34&lt;0),"REVIEW: 3 losing months",IF(I34&lt;Assumptions!$B$9,"Below net target",IF(E34&lt;Assumptions!$B$8,"Low utilization","On track"))))</f>
        <v/>
      </c>
    </row>
    <row r="35" customFormat="false" ht="15" hidden="false" customHeight="false" outlineLevel="0" collapsed="false">
      <c r="A35" s="41" t="str">
        <f aca="false">IF(Fleet!A34="","",Fleet!A34)</f>
        <v/>
      </c>
      <c r="B35" s="41" t="str">
        <f aca="false">IF(Fleet!A34="","",Fleet!B34&amp;" "&amp;Fleet!C34)</f>
        <v/>
      </c>
      <c r="C35" s="42" t="str">
        <f aca="false">IF($A35="","",IF(AND(Fleet!$A$34&lt;&gt;"",N(Fleet!$E$34)&lt;=EOMONTH($B$3,0),OR(Fleet!$F$34="",N(Fleet!$F$34)&gt;=$B$3)),1,0))</f>
        <v/>
      </c>
      <c r="D35" s="43" t="str">
        <f aca="false">IF($A35="","",SUMIFS(Trips!$E$5:$E$1004,Trips!$B$5:$B$1004,$A35,Trips!$L$5:$L$1004,$B$3))</f>
        <v/>
      </c>
      <c r="E35" s="44" t="str">
        <f aca="false">IF(OR($A35="",N(C35)=0),"",D35/DAY(EOMONTH($B$3,0)))</f>
        <v/>
      </c>
      <c r="F35" s="45" t="str">
        <f aca="false">IF($A35="","",SUMIFS(Trips!$H$5:$H$1004,Trips!$B$5:$B$1004,$A35,Trips!$L$5:$L$1004,$B$3)+SUMIFS(Trips!$I$5:$I$1004,Trips!$B$5:$B$1004,$A35,Trips!$L$5:$L$1004,$B$3))</f>
        <v/>
      </c>
      <c r="G35" s="45" t="str">
        <f aca="false">IF($A35="","",SUMIFS(Trips!$J$5:$J$1004,Trips!$B$5:$B$1004,$A35,Trips!$L$5:$L$1004,$B$3)+SUMIFS(Expenses!$E$5:$E$1004,Expenses!$B$5:$B$1004,$A35,Expenses!$G$5:$G$1004,$B$3))</f>
        <v/>
      </c>
      <c r="H35" s="45" t="str">
        <f aca="false">IF($A35="","",Fleet!$O$34*C35)</f>
        <v/>
      </c>
      <c r="I35" s="45" t="str">
        <f aca="false">IF($A35="","",F35-G35-H35)</f>
        <v/>
      </c>
      <c r="J35" s="45" t="str">
        <f aca="false">IF($A35="","",(SUMIFS(Trips!$H$5:$H$1004,Trips!$B$5:$B$1004,$A35,Trips!$L$5:$L$1004,EDATE($B$3,-1))+SUMIFS(Trips!$I$5:$I$1004,Trips!$B$5:$B$1004,$A35,Trips!$L$5:$L$1004,EDATE($B$3,-1))-SUMIFS(Trips!$J$5:$J$1004,Trips!$B$5:$B$1004,$A35,Trips!$L$5:$L$1004,EDATE($B$3,-1))-SUMIFS(Expenses!$E$5:$E$1004,Expenses!$B$5:$B$1004,$A35,Expenses!$G$5:$G$1004,EDATE($B$3,-1))-Fleet!$O$34*IF(AND(Fleet!$A$34&lt;&gt;"",N(Fleet!$E$34)&lt;=EOMONTH(EDATE($B$3,-1),0),OR(Fleet!$F$34="",N(Fleet!$F$34)&gt;=EDATE($B$3,-1))),1,0)))</f>
        <v/>
      </c>
      <c r="K35" s="45" t="str">
        <f aca="false">IF($A35="","",(SUMIFS(Trips!$H$5:$H$1004,Trips!$B$5:$B$1004,$A35,Trips!$L$5:$L$1004,EDATE($B$3,-2))+SUMIFS(Trips!$I$5:$I$1004,Trips!$B$5:$B$1004,$A35,Trips!$L$5:$L$1004,EDATE($B$3,-2))-SUMIFS(Trips!$J$5:$J$1004,Trips!$B$5:$B$1004,$A35,Trips!$L$5:$L$1004,EDATE($B$3,-2))-SUMIFS(Expenses!$E$5:$E$1004,Expenses!$B$5:$B$1004,$A35,Expenses!$G$5:$G$1004,EDATE($B$3,-2))-Fleet!$O$34*IF(AND(Fleet!$A$34&lt;&gt;"",N(Fleet!$E$34)&lt;=EOMONTH(EDATE($B$3,-2),0),OR(Fleet!$F$34="",N(Fleet!$F$34)&gt;=EDATE($B$3,-2))),1,0)))</f>
        <v/>
      </c>
      <c r="L35" s="45" t="str">
        <f aca="false">IF($A35="","",SUMIFS(Trips!$M$5:$M$1004,Trips!$B$5:$B$1004,$A35,Trips!$L$5:$L$1004,"&lt;="&amp;$B$3)-SUMIFS(Expenses!$E$5:$E$1004,Expenses!$B$5:$B$1004,$A35,Expenses!$G$5:$G$1004,"&lt;="&amp;$B$3)-Fleet!$O$34*IF(N(Fleet!$E$34)=0,0,MAX(0,(YEAR(IF(Fleet!$F$34="",EOMONTH($B$3,0),MIN(Fleet!$F$34,EOMONTH($B$3,0))))-YEAR(Fleet!$E$34))*12+MONTH(IF(Fleet!$F$34="",EOMONTH($B$3,0),MIN(Fleet!$F$34,EOMONTH($B$3,0))))-MONTH(Fleet!$E$34)+1)))</f>
        <v/>
      </c>
      <c r="M35" s="46" t="str">
        <f aca="false">IF($A35="","",Fleet!$H$34)</f>
        <v/>
      </c>
      <c r="N35" s="44" t="str">
        <f aca="false">IF(OR($A35="",N(M35)=0),"",L35/M35)</f>
        <v/>
      </c>
      <c r="O35" s="2" t="str">
        <f aca="false">IF(OR($A35="",N(C35)=0),"",IF(AND(I35&lt;0,J35&lt;0,K35&lt;0),"REVIEW: 3 losing months",IF(I35&lt;Assumptions!$B$9,"Below net target",IF(E35&lt;Assumptions!$B$8,"Low utilization","On track"))))</f>
        <v/>
      </c>
    </row>
    <row r="36" customFormat="false" ht="15" hidden="false" customHeight="false" outlineLevel="0" collapsed="false">
      <c r="A36" s="41" t="str">
        <f aca="false">IF(Fleet!A35="","",Fleet!A35)</f>
        <v/>
      </c>
      <c r="B36" s="41" t="str">
        <f aca="false">IF(Fleet!A35="","",Fleet!B35&amp;" "&amp;Fleet!C35)</f>
        <v/>
      </c>
      <c r="C36" s="42" t="str">
        <f aca="false">IF($A36="","",IF(AND(Fleet!$A$35&lt;&gt;"",N(Fleet!$E$35)&lt;=EOMONTH($B$3,0),OR(Fleet!$F$35="",N(Fleet!$F$35)&gt;=$B$3)),1,0))</f>
        <v/>
      </c>
      <c r="D36" s="43" t="str">
        <f aca="false">IF($A36="","",SUMIFS(Trips!$E$5:$E$1004,Trips!$B$5:$B$1004,$A36,Trips!$L$5:$L$1004,$B$3))</f>
        <v/>
      </c>
      <c r="E36" s="44" t="str">
        <f aca="false">IF(OR($A36="",N(C36)=0),"",D36/DAY(EOMONTH($B$3,0)))</f>
        <v/>
      </c>
      <c r="F36" s="45" t="str">
        <f aca="false">IF($A36="","",SUMIFS(Trips!$H$5:$H$1004,Trips!$B$5:$B$1004,$A36,Trips!$L$5:$L$1004,$B$3)+SUMIFS(Trips!$I$5:$I$1004,Trips!$B$5:$B$1004,$A36,Trips!$L$5:$L$1004,$B$3))</f>
        <v/>
      </c>
      <c r="G36" s="45" t="str">
        <f aca="false">IF($A36="","",SUMIFS(Trips!$J$5:$J$1004,Trips!$B$5:$B$1004,$A36,Trips!$L$5:$L$1004,$B$3)+SUMIFS(Expenses!$E$5:$E$1004,Expenses!$B$5:$B$1004,$A36,Expenses!$G$5:$G$1004,$B$3))</f>
        <v/>
      </c>
      <c r="H36" s="45" t="str">
        <f aca="false">IF($A36="","",Fleet!$O$35*C36)</f>
        <v/>
      </c>
      <c r="I36" s="45" t="str">
        <f aca="false">IF($A36="","",F36-G36-H36)</f>
        <v/>
      </c>
      <c r="J36" s="45" t="str">
        <f aca="false">IF($A36="","",(SUMIFS(Trips!$H$5:$H$1004,Trips!$B$5:$B$1004,$A36,Trips!$L$5:$L$1004,EDATE($B$3,-1))+SUMIFS(Trips!$I$5:$I$1004,Trips!$B$5:$B$1004,$A36,Trips!$L$5:$L$1004,EDATE($B$3,-1))-SUMIFS(Trips!$J$5:$J$1004,Trips!$B$5:$B$1004,$A36,Trips!$L$5:$L$1004,EDATE($B$3,-1))-SUMIFS(Expenses!$E$5:$E$1004,Expenses!$B$5:$B$1004,$A36,Expenses!$G$5:$G$1004,EDATE($B$3,-1))-Fleet!$O$35*IF(AND(Fleet!$A$35&lt;&gt;"",N(Fleet!$E$35)&lt;=EOMONTH(EDATE($B$3,-1),0),OR(Fleet!$F$35="",N(Fleet!$F$35)&gt;=EDATE($B$3,-1))),1,0)))</f>
        <v/>
      </c>
      <c r="K36" s="45" t="str">
        <f aca="false">IF($A36="","",(SUMIFS(Trips!$H$5:$H$1004,Trips!$B$5:$B$1004,$A36,Trips!$L$5:$L$1004,EDATE($B$3,-2))+SUMIFS(Trips!$I$5:$I$1004,Trips!$B$5:$B$1004,$A36,Trips!$L$5:$L$1004,EDATE($B$3,-2))-SUMIFS(Trips!$J$5:$J$1004,Trips!$B$5:$B$1004,$A36,Trips!$L$5:$L$1004,EDATE($B$3,-2))-SUMIFS(Expenses!$E$5:$E$1004,Expenses!$B$5:$B$1004,$A36,Expenses!$G$5:$G$1004,EDATE($B$3,-2))-Fleet!$O$35*IF(AND(Fleet!$A$35&lt;&gt;"",N(Fleet!$E$35)&lt;=EOMONTH(EDATE($B$3,-2),0),OR(Fleet!$F$35="",N(Fleet!$F$35)&gt;=EDATE($B$3,-2))),1,0)))</f>
        <v/>
      </c>
      <c r="L36" s="45" t="str">
        <f aca="false">IF($A36="","",SUMIFS(Trips!$M$5:$M$1004,Trips!$B$5:$B$1004,$A36,Trips!$L$5:$L$1004,"&lt;="&amp;$B$3)-SUMIFS(Expenses!$E$5:$E$1004,Expenses!$B$5:$B$1004,$A36,Expenses!$G$5:$G$1004,"&lt;="&amp;$B$3)-Fleet!$O$35*IF(N(Fleet!$E$35)=0,0,MAX(0,(YEAR(IF(Fleet!$F$35="",EOMONTH($B$3,0),MIN(Fleet!$F$35,EOMONTH($B$3,0))))-YEAR(Fleet!$E$35))*12+MONTH(IF(Fleet!$F$35="",EOMONTH($B$3,0),MIN(Fleet!$F$35,EOMONTH($B$3,0))))-MONTH(Fleet!$E$35)+1)))</f>
        <v/>
      </c>
      <c r="M36" s="46" t="str">
        <f aca="false">IF($A36="","",Fleet!$H$35)</f>
        <v/>
      </c>
      <c r="N36" s="44" t="str">
        <f aca="false">IF(OR($A36="",N(M36)=0),"",L36/M36)</f>
        <v/>
      </c>
      <c r="O36" s="2" t="str">
        <f aca="false">IF(OR($A36="",N(C36)=0),"",IF(AND(I36&lt;0,J36&lt;0,K36&lt;0),"REVIEW: 3 losing months",IF(I36&lt;Assumptions!$B$9,"Below net target",IF(E36&lt;Assumptions!$B$8,"Low utilization","On track"))))</f>
        <v/>
      </c>
    </row>
    <row r="37" customFormat="false" ht="15" hidden="false" customHeight="false" outlineLevel="0" collapsed="false">
      <c r="A37" s="41" t="str">
        <f aca="false">IF(Fleet!A36="","",Fleet!A36)</f>
        <v/>
      </c>
      <c r="B37" s="41" t="str">
        <f aca="false">IF(Fleet!A36="","",Fleet!B36&amp;" "&amp;Fleet!C36)</f>
        <v/>
      </c>
      <c r="C37" s="42" t="str">
        <f aca="false">IF($A37="","",IF(AND(Fleet!$A$36&lt;&gt;"",N(Fleet!$E$36)&lt;=EOMONTH($B$3,0),OR(Fleet!$F$36="",N(Fleet!$F$36)&gt;=$B$3)),1,0))</f>
        <v/>
      </c>
      <c r="D37" s="43" t="str">
        <f aca="false">IF($A37="","",SUMIFS(Trips!$E$5:$E$1004,Trips!$B$5:$B$1004,$A37,Trips!$L$5:$L$1004,$B$3))</f>
        <v/>
      </c>
      <c r="E37" s="44" t="str">
        <f aca="false">IF(OR($A37="",N(C37)=0),"",D37/DAY(EOMONTH($B$3,0)))</f>
        <v/>
      </c>
      <c r="F37" s="45" t="str">
        <f aca="false">IF($A37="","",SUMIFS(Trips!$H$5:$H$1004,Trips!$B$5:$B$1004,$A37,Trips!$L$5:$L$1004,$B$3)+SUMIFS(Trips!$I$5:$I$1004,Trips!$B$5:$B$1004,$A37,Trips!$L$5:$L$1004,$B$3))</f>
        <v/>
      </c>
      <c r="G37" s="45" t="str">
        <f aca="false">IF($A37="","",SUMIFS(Trips!$J$5:$J$1004,Trips!$B$5:$B$1004,$A37,Trips!$L$5:$L$1004,$B$3)+SUMIFS(Expenses!$E$5:$E$1004,Expenses!$B$5:$B$1004,$A37,Expenses!$G$5:$G$1004,$B$3))</f>
        <v/>
      </c>
      <c r="H37" s="45" t="str">
        <f aca="false">IF($A37="","",Fleet!$O$36*C37)</f>
        <v/>
      </c>
      <c r="I37" s="45" t="str">
        <f aca="false">IF($A37="","",F37-G37-H37)</f>
        <v/>
      </c>
      <c r="J37" s="45" t="str">
        <f aca="false">IF($A37="","",(SUMIFS(Trips!$H$5:$H$1004,Trips!$B$5:$B$1004,$A37,Trips!$L$5:$L$1004,EDATE($B$3,-1))+SUMIFS(Trips!$I$5:$I$1004,Trips!$B$5:$B$1004,$A37,Trips!$L$5:$L$1004,EDATE($B$3,-1))-SUMIFS(Trips!$J$5:$J$1004,Trips!$B$5:$B$1004,$A37,Trips!$L$5:$L$1004,EDATE($B$3,-1))-SUMIFS(Expenses!$E$5:$E$1004,Expenses!$B$5:$B$1004,$A37,Expenses!$G$5:$G$1004,EDATE($B$3,-1))-Fleet!$O$36*IF(AND(Fleet!$A$36&lt;&gt;"",N(Fleet!$E$36)&lt;=EOMONTH(EDATE($B$3,-1),0),OR(Fleet!$F$36="",N(Fleet!$F$36)&gt;=EDATE($B$3,-1))),1,0)))</f>
        <v/>
      </c>
      <c r="K37" s="45" t="str">
        <f aca="false">IF($A37="","",(SUMIFS(Trips!$H$5:$H$1004,Trips!$B$5:$B$1004,$A37,Trips!$L$5:$L$1004,EDATE($B$3,-2))+SUMIFS(Trips!$I$5:$I$1004,Trips!$B$5:$B$1004,$A37,Trips!$L$5:$L$1004,EDATE($B$3,-2))-SUMIFS(Trips!$J$5:$J$1004,Trips!$B$5:$B$1004,$A37,Trips!$L$5:$L$1004,EDATE($B$3,-2))-SUMIFS(Expenses!$E$5:$E$1004,Expenses!$B$5:$B$1004,$A37,Expenses!$G$5:$G$1004,EDATE($B$3,-2))-Fleet!$O$36*IF(AND(Fleet!$A$36&lt;&gt;"",N(Fleet!$E$36)&lt;=EOMONTH(EDATE($B$3,-2),0),OR(Fleet!$F$36="",N(Fleet!$F$36)&gt;=EDATE($B$3,-2))),1,0)))</f>
        <v/>
      </c>
      <c r="L37" s="45" t="str">
        <f aca="false">IF($A37="","",SUMIFS(Trips!$M$5:$M$1004,Trips!$B$5:$B$1004,$A37,Trips!$L$5:$L$1004,"&lt;="&amp;$B$3)-SUMIFS(Expenses!$E$5:$E$1004,Expenses!$B$5:$B$1004,$A37,Expenses!$G$5:$G$1004,"&lt;="&amp;$B$3)-Fleet!$O$36*IF(N(Fleet!$E$36)=0,0,MAX(0,(YEAR(IF(Fleet!$F$36="",EOMONTH($B$3,0),MIN(Fleet!$F$36,EOMONTH($B$3,0))))-YEAR(Fleet!$E$36))*12+MONTH(IF(Fleet!$F$36="",EOMONTH($B$3,0),MIN(Fleet!$F$36,EOMONTH($B$3,0))))-MONTH(Fleet!$E$36)+1)))</f>
        <v/>
      </c>
      <c r="M37" s="46" t="str">
        <f aca="false">IF($A37="","",Fleet!$H$36)</f>
        <v/>
      </c>
      <c r="N37" s="44" t="str">
        <f aca="false">IF(OR($A37="",N(M37)=0),"",L37/M37)</f>
        <v/>
      </c>
      <c r="O37" s="2" t="str">
        <f aca="false">IF(OR($A37="",N(C37)=0),"",IF(AND(I37&lt;0,J37&lt;0,K37&lt;0),"REVIEW: 3 losing months",IF(I37&lt;Assumptions!$B$9,"Below net target",IF(E37&lt;Assumptions!$B$8,"Low utilization","On track"))))</f>
        <v/>
      </c>
    </row>
    <row r="38" customFormat="false" ht="15" hidden="false" customHeight="false" outlineLevel="0" collapsed="false">
      <c r="A38" s="41" t="str">
        <f aca="false">IF(Fleet!A37="","",Fleet!A37)</f>
        <v/>
      </c>
      <c r="B38" s="41" t="str">
        <f aca="false">IF(Fleet!A37="","",Fleet!B37&amp;" "&amp;Fleet!C37)</f>
        <v/>
      </c>
      <c r="C38" s="42" t="str">
        <f aca="false">IF($A38="","",IF(AND(Fleet!$A$37&lt;&gt;"",N(Fleet!$E$37)&lt;=EOMONTH($B$3,0),OR(Fleet!$F$37="",N(Fleet!$F$37)&gt;=$B$3)),1,0))</f>
        <v/>
      </c>
      <c r="D38" s="43" t="str">
        <f aca="false">IF($A38="","",SUMIFS(Trips!$E$5:$E$1004,Trips!$B$5:$B$1004,$A38,Trips!$L$5:$L$1004,$B$3))</f>
        <v/>
      </c>
      <c r="E38" s="44" t="str">
        <f aca="false">IF(OR($A38="",N(C38)=0),"",D38/DAY(EOMONTH($B$3,0)))</f>
        <v/>
      </c>
      <c r="F38" s="45" t="str">
        <f aca="false">IF($A38="","",SUMIFS(Trips!$H$5:$H$1004,Trips!$B$5:$B$1004,$A38,Trips!$L$5:$L$1004,$B$3)+SUMIFS(Trips!$I$5:$I$1004,Trips!$B$5:$B$1004,$A38,Trips!$L$5:$L$1004,$B$3))</f>
        <v/>
      </c>
      <c r="G38" s="45" t="str">
        <f aca="false">IF($A38="","",SUMIFS(Trips!$J$5:$J$1004,Trips!$B$5:$B$1004,$A38,Trips!$L$5:$L$1004,$B$3)+SUMIFS(Expenses!$E$5:$E$1004,Expenses!$B$5:$B$1004,$A38,Expenses!$G$5:$G$1004,$B$3))</f>
        <v/>
      </c>
      <c r="H38" s="45" t="str">
        <f aca="false">IF($A38="","",Fleet!$O$37*C38)</f>
        <v/>
      </c>
      <c r="I38" s="45" t="str">
        <f aca="false">IF($A38="","",F38-G38-H38)</f>
        <v/>
      </c>
      <c r="J38" s="45" t="str">
        <f aca="false">IF($A38="","",(SUMIFS(Trips!$H$5:$H$1004,Trips!$B$5:$B$1004,$A38,Trips!$L$5:$L$1004,EDATE($B$3,-1))+SUMIFS(Trips!$I$5:$I$1004,Trips!$B$5:$B$1004,$A38,Trips!$L$5:$L$1004,EDATE($B$3,-1))-SUMIFS(Trips!$J$5:$J$1004,Trips!$B$5:$B$1004,$A38,Trips!$L$5:$L$1004,EDATE($B$3,-1))-SUMIFS(Expenses!$E$5:$E$1004,Expenses!$B$5:$B$1004,$A38,Expenses!$G$5:$G$1004,EDATE($B$3,-1))-Fleet!$O$37*IF(AND(Fleet!$A$37&lt;&gt;"",N(Fleet!$E$37)&lt;=EOMONTH(EDATE($B$3,-1),0),OR(Fleet!$F$37="",N(Fleet!$F$37)&gt;=EDATE($B$3,-1))),1,0)))</f>
        <v/>
      </c>
      <c r="K38" s="45" t="str">
        <f aca="false">IF($A38="","",(SUMIFS(Trips!$H$5:$H$1004,Trips!$B$5:$B$1004,$A38,Trips!$L$5:$L$1004,EDATE($B$3,-2))+SUMIFS(Trips!$I$5:$I$1004,Trips!$B$5:$B$1004,$A38,Trips!$L$5:$L$1004,EDATE($B$3,-2))-SUMIFS(Trips!$J$5:$J$1004,Trips!$B$5:$B$1004,$A38,Trips!$L$5:$L$1004,EDATE($B$3,-2))-SUMIFS(Expenses!$E$5:$E$1004,Expenses!$B$5:$B$1004,$A38,Expenses!$G$5:$G$1004,EDATE($B$3,-2))-Fleet!$O$37*IF(AND(Fleet!$A$37&lt;&gt;"",N(Fleet!$E$37)&lt;=EOMONTH(EDATE($B$3,-2),0),OR(Fleet!$F$37="",N(Fleet!$F$37)&gt;=EDATE($B$3,-2))),1,0)))</f>
        <v/>
      </c>
      <c r="L38" s="45" t="str">
        <f aca="false">IF($A38="","",SUMIFS(Trips!$M$5:$M$1004,Trips!$B$5:$B$1004,$A38,Trips!$L$5:$L$1004,"&lt;="&amp;$B$3)-SUMIFS(Expenses!$E$5:$E$1004,Expenses!$B$5:$B$1004,$A38,Expenses!$G$5:$G$1004,"&lt;="&amp;$B$3)-Fleet!$O$37*IF(N(Fleet!$E$37)=0,0,MAX(0,(YEAR(IF(Fleet!$F$37="",EOMONTH($B$3,0),MIN(Fleet!$F$37,EOMONTH($B$3,0))))-YEAR(Fleet!$E$37))*12+MONTH(IF(Fleet!$F$37="",EOMONTH($B$3,0),MIN(Fleet!$F$37,EOMONTH($B$3,0))))-MONTH(Fleet!$E$37)+1)))</f>
        <v/>
      </c>
      <c r="M38" s="46" t="str">
        <f aca="false">IF($A38="","",Fleet!$H$37)</f>
        <v/>
      </c>
      <c r="N38" s="44" t="str">
        <f aca="false">IF(OR($A38="",N(M38)=0),"",L38/M38)</f>
        <v/>
      </c>
      <c r="O38" s="2" t="str">
        <f aca="false">IF(OR($A38="",N(C38)=0),"",IF(AND(I38&lt;0,J38&lt;0,K38&lt;0),"REVIEW: 3 losing months",IF(I38&lt;Assumptions!$B$9,"Below net target",IF(E38&lt;Assumptions!$B$8,"Low utilization","On track"))))</f>
        <v/>
      </c>
    </row>
    <row r="39" customFormat="false" ht="15" hidden="false" customHeight="false" outlineLevel="0" collapsed="false">
      <c r="A39" s="41" t="str">
        <f aca="false">IF(Fleet!A38="","",Fleet!A38)</f>
        <v/>
      </c>
      <c r="B39" s="41" t="str">
        <f aca="false">IF(Fleet!A38="","",Fleet!B38&amp;" "&amp;Fleet!C38)</f>
        <v/>
      </c>
      <c r="C39" s="42" t="str">
        <f aca="false">IF($A39="","",IF(AND(Fleet!$A$38&lt;&gt;"",N(Fleet!$E$38)&lt;=EOMONTH($B$3,0),OR(Fleet!$F$38="",N(Fleet!$F$38)&gt;=$B$3)),1,0))</f>
        <v/>
      </c>
      <c r="D39" s="43" t="str">
        <f aca="false">IF($A39="","",SUMIFS(Trips!$E$5:$E$1004,Trips!$B$5:$B$1004,$A39,Trips!$L$5:$L$1004,$B$3))</f>
        <v/>
      </c>
      <c r="E39" s="44" t="str">
        <f aca="false">IF(OR($A39="",N(C39)=0),"",D39/DAY(EOMONTH($B$3,0)))</f>
        <v/>
      </c>
      <c r="F39" s="45" t="str">
        <f aca="false">IF($A39="","",SUMIFS(Trips!$H$5:$H$1004,Trips!$B$5:$B$1004,$A39,Trips!$L$5:$L$1004,$B$3)+SUMIFS(Trips!$I$5:$I$1004,Trips!$B$5:$B$1004,$A39,Trips!$L$5:$L$1004,$B$3))</f>
        <v/>
      </c>
      <c r="G39" s="45" t="str">
        <f aca="false">IF($A39="","",SUMIFS(Trips!$J$5:$J$1004,Trips!$B$5:$B$1004,$A39,Trips!$L$5:$L$1004,$B$3)+SUMIFS(Expenses!$E$5:$E$1004,Expenses!$B$5:$B$1004,$A39,Expenses!$G$5:$G$1004,$B$3))</f>
        <v/>
      </c>
      <c r="H39" s="45" t="str">
        <f aca="false">IF($A39="","",Fleet!$O$38*C39)</f>
        <v/>
      </c>
      <c r="I39" s="45" t="str">
        <f aca="false">IF($A39="","",F39-G39-H39)</f>
        <v/>
      </c>
      <c r="J39" s="45" t="str">
        <f aca="false">IF($A39="","",(SUMIFS(Trips!$H$5:$H$1004,Trips!$B$5:$B$1004,$A39,Trips!$L$5:$L$1004,EDATE($B$3,-1))+SUMIFS(Trips!$I$5:$I$1004,Trips!$B$5:$B$1004,$A39,Trips!$L$5:$L$1004,EDATE($B$3,-1))-SUMIFS(Trips!$J$5:$J$1004,Trips!$B$5:$B$1004,$A39,Trips!$L$5:$L$1004,EDATE($B$3,-1))-SUMIFS(Expenses!$E$5:$E$1004,Expenses!$B$5:$B$1004,$A39,Expenses!$G$5:$G$1004,EDATE($B$3,-1))-Fleet!$O$38*IF(AND(Fleet!$A$38&lt;&gt;"",N(Fleet!$E$38)&lt;=EOMONTH(EDATE($B$3,-1),0),OR(Fleet!$F$38="",N(Fleet!$F$38)&gt;=EDATE($B$3,-1))),1,0)))</f>
        <v/>
      </c>
      <c r="K39" s="45" t="str">
        <f aca="false">IF($A39="","",(SUMIFS(Trips!$H$5:$H$1004,Trips!$B$5:$B$1004,$A39,Trips!$L$5:$L$1004,EDATE($B$3,-2))+SUMIFS(Trips!$I$5:$I$1004,Trips!$B$5:$B$1004,$A39,Trips!$L$5:$L$1004,EDATE($B$3,-2))-SUMIFS(Trips!$J$5:$J$1004,Trips!$B$5:$B$1004,$A39,Trips!$L$5:$L$1004,EDATE($B$3,-2))-SUMIFS(Expenses!$E$5:$E$1004,Expenses!$B$5:$B$1004,$A39,Expenses!$G$5:$G$1004,EDATE($B$3,-2))-Fleet!$O$38*IF(AND(Fleet!$A$38&lt;&gt;"",N(Fleet!$E$38)&lt;=EOMONTH(EDATE($B$3,-2),0),OR(Fleet!$F$38="",N(Fleet!$F$38)&gt;=EDATE($B$3,-2))),1,0)))</f>
        <v/>
      </c>
      <c r="L39" s="45" t="str">
        <f aca="false">IF($A39="","",SUMIFS(Trips!$M$5:$M$1004,Trips!$B$5:$B$1004,$A39,Trips!$L$5:$L$1004,"&lt;="&amp;$B$3)-SUMIFS(Expenses!$E$5:$E$1004,Expenses!$B$5:$B$1004,$A39,Expenses!$G$5:$G$1004,"&lt;="&amp;$B$3)-Fleet!$O$38*IF(N(Fleet!$E$38)=0,0,MAX(0,(YEAR(IF(Fleet!$F$38="",EOMONTH($B$3,0),MIN(Fleet!$F$38,EOMONTH($B$3,0))))-YEAR(Fleet!$E$38))*12+MONTH(IF(Fleet!$F$38="",EOMONTH($B$3,0),MIN(Fleet!$F$38,EOMONTH($B$3,0))))-MONTH(Fleet!$E$38)+1)))</f>
        <v/>
      </c>
      <c r="M39" s="46" t="str">
        <f aca="false">IF($A39="","",Fleet!$H$38)</f>
        <v/>
      </c>
      <c r="N39" s="44" t="str">
        <f aca="false">IF(OR($A39="",N(M39)=0),"",L39/M39)</f>
        <v/>
      </c>
      <c r="O39" s="2" t="str">
        <f aca="false">IF(OR($A39="",N(C39)=0),"",IF(AND(I39&lt;0,J39&lt;0,K39&lt;0),"REVIEW: 3 losing months",IF(I39&lt;Assumptions!$B$9,"Below net target",IF(E39&lt;Assumptions!$B$8,"Low utilization","On track"))))</f>
        <v/>
      </c>
    </row>
    <row r="40" customFormat="false" ht="15" hidden="false" customHeight="false" outlineLevel="0" collapsed="false">
      <c r="A40" s="41" t="str">
        <f aca="false">IF(Fleet!A39="","",Fleet!A39)</f>
        <v/>
      </c>
      <c r="B40" s="41" t="str">
        <f aca="false">IF(Fleet!A39="","",Fleet!B39&amp;" "&amp;Fleet!C39)</f>
        <v/>
      </c>
      <c r="C40" s="42" t="str">
        <f aca="false">IF($A40="","",IF(AND(Fleet!$A$39&lt;&gt;"",N(Fleet!$E$39)&lt;=EOMONTH($B$3,0),OR(Fleet!$F$39="",N(Fleet!$F$39)&gt;=$B$3)),1,0))</f>
        <v/>
      </c>
      <c r="D40" s="43" t="str">
        <f aca="false">IF($A40="","",SUMIFS(Trips!$E$5:$E$1004,Trips!$B$5:$B$1004,$A40,Trips!$L$5:$L$1004,$B$3))</f>
        <v/>
      </c>
      <c r="E40" s="44" t="str">
        <f aca="false">IF(OR($A40="",N(C40)=0),"",D40/DAY(EOMONTH($B$3,0)))</f>
        <v/>
      </c>
      <c r="F40" s="45" t="str">
        <f aca="false">IF($A40="","",SUMIFS(Trips!$H$5:$H$1004,Trips!$B$5:$B$1004,$A40,Trips!$L$5:$L$1004,$B$3)+SUMIFS(Trips!$I$5:$I$1004,Trips!$B$5:$B$1004,$A40,Trips!$L$5:$L$1004,$B$3))</f>
        <v/>
      </c>
      <c r="G40" s="45" t="str">
        <f aca="false">IF($A40="","",SUMIFS(Trips!$J$5:$J$1004,Trips!$B$5:$B$1004,$A40,Trips!$L$5:$L$1004,$B$3)+SUMIFS(Expenses!$E$5:$E$1004,Expenses!$B$5:$B$1004,$A40,Expenses!$G$5:$G$1004,$B$3))</f>
        <v/>
      </c>
      <c r="H40" s="45" t="str">
        <f aca="false">IF($A40="","",Fleet!$O$39*C40)</f>
        <v/>
      </c>
      <c r="I40" s="45" t="str">
        <f aca="false">IF($A40="","",F40-G40-H40)</f>
        <v/>
      </c>
      <c r="J40" s="45" t="str">
        <f aca="false">IF($A40="","",(SUMIFS(Trips!$H$5:$H$1004,Trips!$B$5:$B$1004,$A40,Trips!$L$5:$L$1004,EDATE($B$3,-1))+SUMIFS(Trips!$I$5:$I$1004,Trips!$B$5:$B$1004,$A40,Trips!$L$5:$L$1004,EDATE($B$3,-1))-SUMIFS(Trips!$J$5:$J$1004,Trips!$B$5:$B$1004,$A40,Trips!$L$5:$L$1004,EDATE($B$3,-1))-SUMIFS(Expenses!$E$5:$E$1004,Expenses!$B$5:$B$1004,$A40,Expenses!$G$5:$G$1004,EDATE($B$3,-1))-Fleet!$O$39*IF(AND(Fleet!$A$39&lt;&gt;"",N(Fleet!$E$39)&lt;=EOMONTH(EDATE($B$3,-1),0),OR(Fleet!$F$39="",N(Fleet!$F$39)&gt;=EDATE($B$3,-1))),1,0)))</f>
        <v/>
      </c>
      <c r="K40" s="45" t="str">
        <f aca="false">IF($A40="","",(SUMIFS(Trips!$H$5:$H$1004,Trips!$B$5:$B$1004,$A40,Trips!$L$5:$L$1004,EDATE($B$3,-2))+SUMIFS(Trips!$I$5:$I$1004,Trips!$B$5:$B$1004,$A40,Trips!$L$5:$L$1004,EDATE($B$3,-2))-SUMIFS(Trips!$J$5:$J$1004,Trips!$B$5:$B$1004,$A40,Trips!$L$5:$L$1004,EDATE($B$3,-2))-SUMIFS(Expenses!$E$5:$E$1004,Expenses!$B$5:$B$1004,$A40,Expenses!$G$5:$G$1004,EDATE($B$3,-2))-Fleet!$O$39*IF(AND(Fleet!$A$39&lt;&gt;"",N(Fleet!$E$39)&lt;=EOMONTH(EDATE($B$3,-2),0),OR(Fleet!$F$39="",N(Fleet!$F$39)&gt;=EDATE($B$3,-2))),1,0)))</f>
        <v/>
      </c>
      <c r="L40" s="45" t="str">
        <f aca="false">IF($A40="","",SUMIFS(Trips!$M$5:$M$1004,Trips!$B$5:$B$1004,$A40,Trips!$L$5:$L$1004,"&lt;="&amp;$B$3)-SUMIFS(Expenses!$E$5:$E$1004,Expenses!$B$5:$B$1004,$A40,Expenses!$G$5:$G$1004,"&lt;="&amp;$B$3)-Fleet!$O$39*IF(N(Fleet!$E$39)=0,0,MAX(0,(YEAR(IF(Fleet!$F$39="",EOMONTH($B$3,0),MIN(Fleet!$F$39,EOMONTH($B$3,0))))-YEAR(Fleet!$E$39))*12+MONTH(IF(Fleet!$F$39="",EOMONTH($B$3,0),MIN(Fleet!$F$39,EOMONTH($B$3,0))))-MONTH(Fleet!$E$39)+1)))</f>
        <v/>
      </c>
      <c r="M40" s="46" t="str">
        <f aca="false">IF($A40="","",Fleet!$H$39)</f>
        <v/>
      </c>
      <c r="N40" s="44" t="str">
        <f aca="false">IF(OR($A40="",N(M40)=0),"",L40/M40)</f>
        <v/>
      </c>
      <c r="O40" s="2" t="str">
        <f aca="false">IF(OR($A40="",N(C40)=0),"",IF(AND(I40&lt;0,J40&lt;0,K40&lt;0),"REVIEW: 3 losing months",IF(I40&lt;Assumptions!$B$9,"Below net target",IF(E40&lt;Assumptions!$B$8,"Low utilization","On track"))))</f>
        <v/>
      </c>
    </row>
    <row r="41" customFormat="false" ht="15" hidden="false" customHeight="false" outlineLevel="0" collapsed="false">
      <c r="A41" s="41" t="str">
        <f aca="false">IF(Fleet!A40="","",Fleet!A40)</f>
        <v/>
      </c>
      <c r="B41" s="41" t="str">
        <f aca="false">IF(Fleet!A40="","",Fleet!B40&amp;" "&amp;Fleet!C40)</f>
        <v/>
      </c>
      <c r="C41" s="42" t="str">
        <f aca="false">IF($A41="","",IF(AND(Fleet!$A$40&lt;&gt;"",N(Fleet!$E$40)&lt;=EOMONTH($B$3,0),OR(Fleet!$F$40="",N(Fleet!$F$40)&gt;=$B$3)),1,0))</f>
        <v/>
      </c>
      <c r="D41" s="43" t="str">
        <f aca="false">IF($A41="","",SUMIFS(Trips!$E$5:$E$1004,Trips!$B$5:$B$1004,$A41,Trips!$L$5:$L$1004,$B$3))</f>
        <v/>
      </c>
      <c r="E41" s="44" t="str">
        <f aca="false">IF(OR($A41="",N(C41)=0),"",D41/DAY(EOMONTH($B$3,0)))</f>
        <v/>
      </c>
      <c r="F41" s="45" t="str">
        <f aca="false">IF($A41="","",SUMIFS(Trips!$H$5:$H$1004,Trips!$B$5:$B$1004,$A41,Trips!$L$5:$L$1004,$B$3)+SUMIFS(Trips!$I$5:$I$1004,Trips!$B$5:$B$1004,$A41,Trips!$L$5:$L$1004,$B$3))</f>
        <v/>
      </c>
      <c r="G41" s="45" t="str">
        <f aca="false">IF($A41="","",SUMIFS(Trips!$J$5:$J$1004,Trips!$B$5:$B$1004,$A41,Trips!$L$5:$L$1004,$B$3)+SUMIFS(Expenses!$E$5:$E$1004,Expenses!$B$5:$B$1004,$A41,Expenses!$G$5:$G$1004,$B$3))</f>
        <v/>
      </c>
      <c r="H41" s="45" t="str">
        <f aca="false">IF($A41="","",Fleet!$O$40*C41)</f>
        <v/>
      </c>
      <c r="I41" s="45" t="str">
        <f aca="false">IF($A41="","",F41-G41-H41)</f>
        <v/>
      </c>
      <c r="J41" s="45" t="str">
        <f aca="false">IF($A41="","",(SUMIFS(Trips!$H$5:$H$1004,Trips!$B$5:$B$1004,$A41,Trips!$L$5:$L$1004,EDATE($B$3,-1))+SUMIFS(Trips!$I$5:$I$1004,Trips!$B$5:$B$1004,$A41,Trips!$L$5:$L$1004,EDATE($B$3,-1))-SUMIFS(Trips!$J$5:$J$1004,Trips!$B$5:$B$1004,$A41,Trips!$L$5:$L$1004,EDATE($B$3,-1))-SUMIFS(Expenses!$E$5:$E$1004,Expenses!$B$5:$B$1004,$A41,Expenses!$G$5:$G$1004,EDATE($B$3,-1))-Fleet!$O$40*IF(AND(Fleet!$A$40&lt;&gt;"",N(Fleet!$E$40)&lt;=EOMONTH(EDATE($B$3,-1),0),OR(Fleet!$F$40="",N(Fleet!$F$40)&gt;=EDATE($B$3,-1))),1,0)))</f>
        <v/>
      </c>
      <c r="K41" s="45" t="str">
        <f aca="false">IF($A41="","",(SUMIFS(Trips!$H$5:$H$1004,Trips!$B$5:$B$1004,$A41,Trips!$L$5:$L$1004,EDATE($B$3,-2))+SUMIFS(Trips!$I$5:$I$1004,Trips!$B$5:$B$1004,$A41,Trips!$L$5:$L$1004,EDATE($B$3,-2))-SUMIFS(Trips!$J$5:$J$1004,Trips!$B$5:$B$1004,$A41,Trips!$L$5:$L$1004,EDATE($B$3,-2))-SUMIFS(Expenses!$E$5:$E$1004,Expenses!$B$5:$B$1004,$A41,Expenses!$G$5:$G$1004,EDATE($B$3,-2))-Fleet!$O$40*IF(AND(Fleet!$A$40&lt;&gt;"",N(Fleet!$E$40)&lt;=EOMONTH(EDATE($B$3,-2),0),OR(Fleet!$F$40="",N(Fleet!$F$40)&gt;=EDATE($B$3,-2))),1,0)))</f>
        <v/>
      </c>
      <c r="L41" s="45" t="str">
        <f aca="false">IF($A41="","",SUMIFS(Trips!$M$5:$M$1004,Trips!$B$5:$B$1004,$A41,Trips!$L$5:$L$1004,"&lt;="&amp;$B$3)-SUMIFS(Expenses!$E$5:$E$1004,Expenses!$B$5:$B$1004,$A41,Expenses!$G$5:$G$1004,"&lt;="&amp;$B$3)-Fleet!$O$40*IF(N(Fleet!$E$40)=0,0,MAX(0,(YEAR(IF(Fleet!$F$40="",EOMONTH($B$3,0),MIN(Fleet!$F$40,EOMONTH($B$3,0))))-YEAR(Fleet!$E$40))*12+MONTH(IF(Fleet!$F$40="",EOMONTH($B$3,0),MIN(Fleet!$F$40,EOMONTH($B$3,0))))-MONTH(Fleet!$E$40)+1)))</f>
        <v/>
      </c>
      <c r="M41" s="46" t="str">
        <f aca="false">IF($A41="","",Fleet!$H$40)</f>
        <v/>
      </c>
      <c r="N41" s="44" t="str">
        <f aca="false">IF(OR($A41="",N(M41)=0),"",L41/M41)</f>
        <v/>
      </c>
      <c r="O41" s="2" t="str">
        <f aca="false">IF(OR($A41="",N(C41)=0),"",IF(AND(I41&lt;0,J41&lt;0,K41&lt;0),"REVIEW: 3 losing months",IF(I41&lt;Assumptions!$B$9,"Below net target",IF(E41&lt;Assumptions!$B$8,"Low utilization","On track"))))</f>
        <v/>
      </c>
    </row>
    <row r="42" customFormat="false" ht="15" hidden="false" customHeight="false" outlineLevel="0" collapsed="false">
      <c r="A42" s="41" t="str">
        <f aca="false">IF(Fleet!A41="","",Fleet!A41)</f>
        <v/>
      </c>
      <c r="B42" s="41" t="str">
        <f aca="false">IF(Fleet!A41="","",Fleet!B41&amp;" "&amp;Fleet!C41)</f>
        <v/>
      </c>
      <c r="C42" s="42" t="str">
        <f aca="false">IF($A42="","",IF(AND(Fleet!$A$41&lt;&gt;"",N(Fleet!$E$41)&lt;=EOMONTH($B$3,0),OR(Fleet!$F$41="",N(Fleet!$F$41)&gt;=$B$3)),1,0))</f>
        <v/>
      </c>
      <c r="D42" s="43" t="str">
        <f aca="false">IF($A42="","",SUMIFS(Trips!$E$5:$E$1004,Trips!$B$5:$B$1004,$A42,Trips!$L$5:$L$1004,$B$3))</f>
        <v/>
      </c>
      <c r="E42" s="44" t="str">
        <f aca="false">IF(OR($A42="",N(C42)=0),"",D42/DAY(EOMONTH($B$3,0)))</f>
        <v/>
      </c>
      <c r="F42" s="45" t="str">
        <f aca="false">IF($A42="","",SUMIFS(Trips!$H$5:$H$1004,Trips!$B$5:$B$1004,$A42,Trips!$L$5:$L$1004,$B$3)+SUMIFS(Trips!$I$5:$I$1004,Trips!$B$5:$B$1004,$A42,Trips!$L$5:$L$1004,$B$3))</f>
        <v/>
      </c>
      <c r="G42" s="45" t="str">
        <f aca="false">IF($A42="","",SUMIFS(Trips!$J$5:$J$1004,Trips!$B$5:$B$1004,$A42,Trips!$L$5:$L$1004,$B$3)+SUMIFS(Expenses!$E$5:$E$1004,Expenses!$B$5:$B$1004,$A42,Expenses!$G$5:$G$1004,$B$3))</f>
        <v/>
      </c>
      <c r="H42" s="45" t="str">
        <f aca="false">IF($A42="","",Fleet!$O$41*C42)</f>
        <v/>
      </c>
      <c r="I42" s="45" t="str">
        <f aca="false">IF($A42="","",F42-G42-H42)</f>
        <v/>
      </c>
      <c r="J42" s="45" t="str">
        <f aca="false">IF($A42="","",(SUMIFS(Trips!$H$5:$H$1004,Trips!$B$5:$B$1004,$A42,Trips!$L$5:$L$1004,EDATE($B$3,-1))+SUMIFS(Trips!$I$5:$I$1004,Trips!$B$5:$B$1004,$A42,Trips!$L$5:$L$1004,EDATE($B$3,-1))-SUMIFS(Trips!$J$5:$J$1004,Trips!$B$5:$B$1004,$A42,Trips!$L$5:$L$1004,EDATE($B$3,-1))-SUMIFS(Expenses!$E$5:$E$1004,Expenses!$B$5:$B$1004,$A42,Expenses!$G$5:$G$1004,EDATE($B$3,-1))-Fleet!$O$41*IF(AND(Fleet!$A$41&lt;&gt;"",N(Fleet!$E$41)&lt;=EOMONTH(EDATE($B$3,-1),0),OR(Fleet!$F$41="",N(Fleet!$F$41)&gt;=EDATE($B$3,-1))),1,0)))</f>
        <v/>
      </c>
      <c r="K42" s="45" t="str">
        <f aca="false">IF($A42="","",(SUMIFS(Trips!$H$5:$H$1004,Trips!$B$5:$B$1004,$A42,Trips!$L$5:$L$1004,EDATE($B$3,-2))+SUMIFS(Trips!$I$5:$I$1004,Trips!$B$5:$B$1004,$A42,Trips!$L$5:$L$1004,EDATE($B$3,-2))-SUMIFS(Trips!$J$5:$J$1004,Trips!$B$5:$B$1004,$A42,Trips!$L$5:$L$1004,EDATE($B$3,-2))-SUMIFS(Expenses!$E$5:$E$1004,Expenses!$B$5:$B$1004,$A42,Expenses!$G$5:$G$1004,EDATE($B$3,-2))-Fleet!$O$41*IF(AND(Fleet!$A$41&lt;&gt;"",N(Fleet!$E$41)&lt;=EOMONTH(EDATE($B$3,-2),0),OR(Fleet!$F$41="",N(Fleet!$F$41)&gt;=EDATE($B$3,-2))),1,0)))</f>
        <v/>
      </c>
      <c r="L42" s="45" t="str">
        <f aca="false">IF($A42="","",SUMIFS(Trips!$M$5:$M$1004,Trips!$B$5:$B$1004,$A42,Trips!$L$5:$L$1004,"&lt;="&amp;$B$3)-SUMIFS(Expenses!$E$5:$E$1004,Expenses!$B$5:$B$1004,$A42,Expenses!$G$5:$G$1004,"&lt;="&amp;$B$3)-Fleet!$O$41*IF(N(Fleet!$E$41)=0,0,MAX(0,(YEAR(IF(Fleet!$F$41="",EOMONTH($B$3,0),MIN(Fleet!$F$41,EOMONTH($B$3,0))))-YEAR(Fleet!$E$41))*12+MONTH(IF(Fleet!$F$41="",EOMONTH($B$3,0),MIN(Fleet!$F$41,EOMONTH($B$3,0))))-MONTH(Fleet!$E$41)+1)))</f>
        <v/>
      </c>
      <c r="M42" s="46" t="str">
        <f aca="false">IF($A42="","",Fleet!$H$41)</f>
        <v/>
      </c>
      <c r="N42" s="44" t="str">
        <f aca="false">IF(OR($A42="",N(M42)=0),"",L42/M42)</f>
        <v/>
      </c>
      <c r="O42" s="2" t="str">
        <f aca="false">IF(OR($A42="",N(C42)=0),"",IF(AND(I42&lt;0,J42&lt;0,K42&lt;0),"REVIEW: 3 losing months",IF(I42&lt;Assumptions!$B$9,"Below net target",IF(E42&lt;Assumptions!$B$8,"Low utilization","On track"))))</f>
        <v/>
      </c>
    </row>
    <row r="43" customFormat="false" ht="15" hidden="false" customHeight="false" outlineLevel="0" collapsed="false">
      <c r="A43" s="41" t="str">
        <f aca="false">IF(Fleet!A42="","",Fleet!A42)</f>
        <v/>
      </c>
      <c r="B43" s="41" t="str">
        <f aca="false">IF(Fleet!A42="","",Fleet!B42&amp;" "&amp;Fleet!C42)</f>
        <v/>
      </c>
      <c r="C43" s="42" t="str">
        <f aca="false">IF($A43="","",IF(AND(Fleet!$A$42&lt;&gt;"",N(Fleet!$E$42)&lt;=EOMONTH($B$3,0),OR(Fleet!$F$42="",N(Fleet!$F$42)&gt;=$B$3)),1,0))</f>
        <v/>
      </c>
      <c r="D43" s="43" t="str">
        <f aca="false">IF($A43="","",SUMIFS(Trips!$E$5:$E$1004,Trips!$B$5:$B$1004,$A43,Trips!$L$5:$L$1004,$B$3))</f>
        <v/>
      </c>
      <c r="E43" s="44" t="str">
        <f aca="false">IF(OR($A43="",N(C43)=0),"",D43/DAY(EOMONTH($B$3,0)))</f>
        <v/>
      </c>
      <c r="F43" s="45" t="str">
        <f aca="false">IF($A43="","",SUMIFS(Trips!$H$5:$H$1004,Trips!$B$5:$B$1004,$A43,Trips!$L$5:$L$1004,$B$3)+SUMIFS(Trips!$I$5:$I$1004,Trips!$B$5:$B$1004,$A43,Trips!$L$5:$L$1004,$B$3))</f>
        <v/>
      </c>
      <c r="G43" s="45" t="str">
        <f aca="false">IF($A43="","",SUMIFS(Trips!$J$5:$J$1004,Trips!$B$5:$B$1004,$A43,Trips!$L$5:$L$1004,$B$3)+SUMIFS(Expenses!$E$5:$E$1004,Expenses!$B$5:$B$1004,$A43,Expenses!$G$5:$G$1004,$B$3))</f>
        <v/>
      </c>
      <c r="H43" s="45" t="str">
        <f aca="false">IF($A43="","",Fleet!$O$42*C43)</f>
        <v/>
      </c>
      <c r="I43" s="45" t="str">
        <f aca="false">IF($A43="","",F43-G43-H43)</f>
        <v/>
      </c>
      <c r="J43" s="45" t="str">
        <f aca="false">IF($A43="","",(SUMIFS(Trips!$H$5:$H$1004,Trips!$B$5:$B$1004,$A43,Trips!$L$5:$L$1004,EDATE($B$3,-1))+SUMIFS(Trips!$I$5:$I$1004,Trips!$B$5:$B$1004,$A43,Trips!$L$5:$L$1004,EDATE($B$3,-1))-SUMIFS(Trips!$J$5:$J$1004,Trips!$B$5:$B$1004,$A43,Trips!$L$5:$L$1004,EDATE($B$3,-1))-SUMIFS(Expenses!$E$5:$E$1004,Expenses!$B$5:$B$1004,$A43,Expenses!$G$5:$G$1004,EDATE($B$3,-1))-Fleet!$O$42*IF(AND(Fleet!$A$42&lt;&gt;"",N(Fleet!$E$42)&lt;=EOMONTH(EDATE($B$3,-1),0),OR(Fleet!$F$42="",N(Fleet!$F$42)&gt;=EDATE($B$3,-1))),1,0)))</f>
        <v/>
      </c>
      <c r="K43" s="45" t="str">
        <f aca="false">IF($A43="","",(SUMIFS(Trips!$H$5:$H$1004,Trips!$B$5:$B$1004,$A43,Trips!$L$5:$L$1004,EDATE($B$3,-2))+SUMIFS(Trips!$I$5:$I$1004,Trips!$B$5:$B$1004,$A43,Trips!$L$5:$L$1004,EDATE($B$3,-2))-SUMIFS(Trips!$J$5:$J$1004,Trips!$B$5:$B$1004,$A43,Trips!$L$5:$L$1004,EDATE($B$3,-2))-SUMIFS(Expenses!$E$5:$E$1004,Expenses!$B$5:$B$1004,$A43,Expenses!$G$5:$G$1004,EDATE($B$3,-2))-Fleet!$O$42*IF(AND(Fleet!$A$42&lt;&gt;"",N(Fleet!$E$42)&lt;=EOMONTH(EDATE($B$3,-2),0),OR(Fleet!$F$42="",N(Fleet!$F$42)&gt;=EDATE($B$3,-2))),1,0)))</f>
        <v/>
      </c>
      <c r="L43" s="45" t="str">
        <f aca="false">IF($A43="","",SUMIFS(Trips!$M$5:$M$1004,Trips!$B$5:$B$1004,$A43,Trips!$L$5:$L$1004,"&lt;="&amp;$B$3)-SUMIFS(Expenses!$E$5:$E$1004,Expenses!$B$5:$B$1004,$A43,Expenses!$G$5:$G$1004,"&lt;="&amp;$B$3)-Fleet!$O$42*IF(N(Fleet!$E$42)=0,0,MAX(0,(YEAR(IF(Fleet!$F$42="",EOMONTH($B$3,0),MIN(Fleet!$F$42,EOMONTH($B$3,0))))-YEAR(Fleet!$E$42))*12+MONTH(IF(Fleet!$F$42="",EOMONTH($B$3,0),MIN(Fleet!$F$42,EOMONTH($B$3,0))))-MONTH(Fleet!$E$42)+1)))</f>
        <v/>
      </c>
      <c r="M43" s="46" t="str">
        <f aca="false">IF($A43="","",Fleet!$H$42)</f>
        <v/>
      </c>
      <c r="N43" s="44" t="str">
        <f aca="false">IF(OR($A43="",N(M43)=0),"",L43/M43)</f>
        <v/>
      </c>
      <c r="O43" s="2" t="str">
        <f aca="false">IF(OR($A43="",N(C43)=0),"",IF(AND(I43&lt;0,J43&lt;0,K43&lt;0),"REVIEW: 3 losing months",IF(I43&lt;Assumptions!$B$9,"Below net target",IF(E43&lt;Assumptions!$B$8,"Low utilization","On track"))))</f>
        <v/>
      </c>
    </row>
    <row r="44" customFormat="false" ht="15" hidden="false" customHeight="false" outlineLevel="0" collapsed="false">
      <c r="A44" s="41" t="str">
        <f aca="false">IF(Fleet!A43="","",Fleet!A43)</f>
        <v/>
      </c>
      <c r="B44" s="41" t="str">
        <f aca="false">IF(Fleet!A43="","",Fleet!B43&amp;" "&amp;Fleet!C43)</f>
        <v/>
      </c>
      <c r="C44" s="42" t="str">
        <f aca="false">IF($A44="","",IF(AND(Fleet!$A$43&lt;&gt;"",N(Fleet!$E$43)&lt;=EOMONTH($B$3,0),OR(Fleet!$F$43="",N(Fleet!$F$43)&gt;=$B$3)),1,0))</f>
        <v/>
      </c>
      <c r="D44" s="43" t="str">
        <f aca="false">IF($A44="","",SUMIFS(Trips!$E$5:$E$1004,Trips!$B$5:$B$1004,$A44,Trips!$L$5:$L$1004,$B$3))</f>
        <v/>
      </c>
      <c r="E44" s="44" t="str">
        <f aca="false">IF(OR($A44="",N(C44)=0),"",D44/DAY(EOMONTH($B$3,0)))</f>
        <v/>
      </c>
      <c r="F44" s="45" t="str">
        <f aca="false">IF($A44="","",SUMIFS(Trips!$H$5:$H$1004,Trips!$B$5:$B$1004,$A44,Trips!$L$5:$L$1004,$B$3)+SUMIFS(Trips!$I$5:$I$1004,Trips!$B$5:$B$1004,$A44,Trips!$L$5:$L$1004,$B$3))</f>
        <v/>
      </c>
      <c r="G44" s="45" t="str">
        <f aca="false">IF($A44="","",SUMIFS(Trips!$J$5:$J$1004,Trips!$B$5:$B$1004,$A44,Trips!$L$5:$L$1004,$B$3)+SUMIFS(Expenses!$E$5:$E$1004,Expenses!$B$5:$B$1004,$A44,Expenses!$G$5:$G$1004,$B$3))</f>
        <v/>
      </c>
      <c r="H44" s="45" t="str">
        <f aca="false">IF($A44="","",Fleet!$O$43*C44)</f>
        <v/>
      </c>
      <c r="I44" s="45" t="str">
        <f aca="false">IF($A44="","",F44-G44-H44)</f>
        <v/>
      </c>
      <c r="J44" s="45" t="str">
        <f aca="false">IF($A44="","",(SUMIFS(Trips!$H$5:$H$1004,Trips!$B$5:$B$1004,$A44,Trips!$L$5:$L$1004,EDATE($B$3,-1))+SUMIFS(Trips!$I$5:$I$1004,Trips!$B$5:$B$1004,$A44,Trips!$L$5:$L$1004,EDATE($B$3,-1))-SUMIFS(Trips!$J$5:$J$1004,Trips!$B$5:$B$1004,$A44,Trips!$L$5:$L$1004,EDATE($B$3,-1))-SUMIFS(Expenses!$E$5:$E$1004,Expenses!$B$5:$B$1004,$A44,Expenses!$G$5:$G$1004,EDATE($B$3,-1))-Fleet!$O$43*IF(AND(Fleet!$A$43&lt;&gt;"",N(Fleet!$E$43)&lt;=EOMONTH(EDATE($B$3,-1),0),OR(Fleet!$F$43="",N(Fleet!$F$43)&gt;=EDATE($B$3,-1))),1,0)))</f>
        <v/>
      </c>
      <c r="K44" s="45" t="str">
        <f aca="false">IF($A44="","",(SUMIFS(Trips!$H$5:$H$1004,Trips!$B$5:$B$1004,$A44,Trips!$L$5:$L$1004,EDATE($B$3,-2))+SUMIFS(Trips!$I$5:$I$1004,Trips!$B$5:$B$1004,$A44,Trips!$L$5:$L$1004,EDATE($B$3,-2))-SUMIFS(Trips!$J$5:$J$1004,Trips!$B$5:$B$1004,$A44,Trips!$L$5:$L$1004,EDATE($B$3,-2))-SUMIFS(Expenses!$E$5:$E$1004,Expenses!$B$5:$B$1004,$A44,Expenses!$G$5:$G$1004,EDATE($B$3,-2))-Fleet!$O$43*IF(AND(Fleet!$A$43&lt;&gt;"",N(Fleet!$E$43)&lt;=EOMONTH(EDATE($B$3,-2),0),OR(Fleet!$F$43="",N(Fleet!$F$43)&gt;=EDATE($B$3,-2))),1,0)))</f>
        <v/>
      </c>
      <c r="L44" s="45" t="str">
        <f aca="false">IF($A44="","",SUMIFS(Trips!$M$5:$M$1004,Trips!$B$5:$B$1004,$A44,Trips!$L$5:$L$1004,"&lt;="&amp;$B$3)-SUMIFS(Expenses!$E$5:$E$1004,Expenses!$B$5:$B$1004,$A44,Expenses!$G$5:$G$1004,"&lt;="&amp;$B$3)-Fleet!$O$43*IF(N(Fleet!$E$43)=0,0,MAX(0,(YEAR(IF(Fleet!$F$43="",EOMONTH($B$3,0),MIN(Fleet!$F$43,EOMONTH($B$3,0))))-YEAR(Fleet!$E$43))*12+MONTH(IF(Fleet!$F$43="",EOMONTH($B$3,0),MIN(Fleet!$F$43,EOMONTH($B$3,0))))-MONTH(Fleet!$E$43)+1)))</f>
        <v/>
      </c>
      <c r="M44" s="46" t="str">
        <f aca="false">IF($A44="","",Fleet!$H$43)</f>
        <v/>
      </c>
      <c r="N44" s="44" t="str">
        <f aca="false">IF(OR($A44="",N(M44)=0),"",L44/M44)</f>
        <v/>
      </c>
      <c r="O44" s="2" t="str">
        <f aca="false">IF(OR($A44="",N(C44)=0),"",IF(AND(I44&lt;0,J44&lt;0,K44&lt;0),"REVIEW: 3 losing months",IF(I44&lt;Assumptions!$B$9,"Below net target",IF(E44&lt;Assumptions!$B$8,"Low utilization","On track"))))</f>
        <v/>
      </c>
    </row>
    <row r="45" customFormat="false" ht="15" hidden="false" customHeight="false" outlineLevel="0" collapsed="false">
      <c r="A45" s="41" t="str">
        <f aca="false">IF(Fleet!A44="","",Fleet!A44)</f>
        <v/>
      </c>
      <c r="B45" s="41" t="str">
        <f aca="false">IF(Fleet!A44="","",Fleet!B44&amp;" "&amp;Fleet!C44)</f>
        <v/>
      </c>
      <c r="C45" s="42" t="str">
        <f aca="false">IF($A45="","",IF(AND(Fleet!$A$44&lt;&gt;"",N(Fleet!$E$44)&lt;=EOMONTH($B$3,0),OR(Fleet!$F$44="",N(Fleet!$F$44)&gt;=$B$3)),1,0))</f>
        <v/>
      </c>
      <c r="D45" s="43" t="str">
        <f aca="false">IF($A45="","",SUMIFS(Trips!$E$5:$E$1004,Trips!$B$5:$B$1004,$A45,Trips!$L$5:$L$1004,$B$3))</f>
        <v/>
      </c>
      <c r="E45" s="44" t="str">
        <f aca="false">IF(OR($A45="",N(C45)=0),"",D45/DAY(EOMONTH($B$3,0)))</f>
        <v/>
      </c>
      <c r="F45" s="45" t="str">
        <f aca="false">IF($A45="","",SUMIFS(Trips!$H$5:$H$1004,Trips!$B$5:$B$1004,$A45,Trips!$L$5:$L$1004,$B$3)+SUMIFS(Trips!$I$5:$I$1004,Trips!$B$5:$B$1004,$A45,Trips!$L$5:$L$1004,$B$3))</f>
        <v/>
      </c>
      <c r="G45" s="45" t="str">
        <f aca="false">IF($A45="","",SUMIFS(Trips!$J$5:$J$1004,Trips!$B$5:$B$1004,$A45,Trips!$L$5:$L$1004,$B$3)+SUMIFS(Expenses!$E$5:$E$1004,Expenses!$B$5:$B$1004,$A45,Expenses!$G$5:$G$1004,$B$3))</f>
        <v/>
      </c>
      <c r="H45" s="45" t="str">
        <f aca="false">IF($A45="","",Fleet!$O$44*C45)</f>
        <v/>
      </c>
      <c r="I45" s="45" t="str">
        <f aca="false">IF($A45="","",F45-G45-H45)</f>
        <v/>
      </c>
      <c r="J45" s="45" t="str">
        <f aca="false">IF($A45="","",(SUMIFS(Trips!$H$5:$H$1004,Trips!$B$5:$B$1004,$A45,Trips!$L$5:$L$1004,EDATE($B$3,-1))+SUMIFS(Trips!$I$5:$I$1004,Trips!$B$5:$B$1004,$A45,Trips!$L$5:$L$1004,EDATE($B$3,-1))-SUMIFS(Trips!$J$5:$J$1004,Trips!$B$5:$B$1004,$A45,Trips!$L$5:$L$1004,EDATE($B$3,-1))-SUMIFS(Expenses!$E$5:$E$1004,Expenses!$B$5:$B$1004,$A45,Expenses!$G$5:$G$1004,EDATE($B$3,-1))-Fleet!$O$44*IF(AND(Fleet!$A$44&lt;&gt;"",N(Fleet!$E$44)&lt;=EOMONTH(EDATE($B$3,-1),0),OR(Fleet!$F$44="",N(Fleet!$F$44)&gt;=EDATE($B$3,-1))),1,0)))</f>
        <v/>
      </c>
      <c r="K45" s="45" t="str">
        <f aca="false">IF($A45="","",(SUMIFS(Trips!$H$5:$H$1004,Trips!$B$5:$B$1004,$A45,Trips!$L$5:$L$1004,EDATE($B$3,-2))+SUMIFS(Trips!$I$5:$I$1004,Trips!$B$5:$B$1004,$A45,Trips!$L$5:$L$1004,EDATE($B$3,-2))-SUMIFS(Trips!$J$5:$J$1004,Trips!$B$5:$B$1004,$A45,Trips!$L$5:$L$1004,EDATE($B$3,-2))-SUMIFS(Expenses!$E$5:$E$1004,Expenses!$B$5:$B$1004,$A45,Expenses!$G$5:$G$1004,EDATE($B$3,-2))-Fleet!$O$44*IF(AND(Fleet!$A$44&lt;&gt;"",N(Fleet!$E$44)&lt;=EOMONTH(EDATE($B$3,-2),0),OR(Fleet!$F$44="",N(Fleet!$F$44)&gt;=EDATE($B$3,-2))),1,0)))</f>
        <v/>
      </c>
      <c r="L45" s="45" t="str">
        <f aca="false">IF($A45="","",SUMIFS(Trips!$M$5:$M$1004,Trips!$B$5:$B$1004,$A45,Trips!$L$5:$L$1004,"&lt;="&amp;$B$3)-SUMIFS(Expenses!$E$5:$E$1004,Expenses!$B$5:$B$1004,$A45,Expenses!$G$5:$G$1004,"&lt;="&amp;$B$3)-Fleet!$O$44*IF(N(Fleet!$E$44)=0,0,MAX(0,(YEAR(IF(Fleet!$F$44="",EOMONTH($B$3,0),MIN(Fleet!$F$44,EOMONTH($B$3,0))))-YEAR(Fleet!$E$44))*12+MONTH(IF(Fleet!$F$44="",EOMONTH($B$3,0),MIN(Fleet!$F$44,EOMONTH($B$3,0))))-MONTH(Fleet!$E$44)+1)))</f>
        <v/>
      </c>
      <c r="M45" s="46" t="str">
        <f aca="false">IF($A45="","",Fleet!$H$44)</f>
        <v/>
      </c>
      <c r="N45" s="44" t="str">
        <f aca="false">IF(OR($A45="",N(M45)=0),"",L45/M45)</f>
        <v/>
      </c>
      <c r="O45" s="2" t="str">
        <f aca="false">IF(OR($A45="",N(C45)=0),"",IF(AND(I45&lt;0,J45&lt;0,K45&lt;0),"REVIEW: 3 losing months",IF(I45&lt;Assumptions!$B$9,"Below net target",IF(E45&lt;Assumptions!$B$8,"Low utilization","On track"))))</f>
        <v/>
      </c>
    </row>
    <row r="46" customFormat="false" ht="15" hidden="false" customHeight="false" outlineLevel="0" collapsed="false">
      <c r="A46" s="41" t="str">
        <f aca="false">IF(Fleet!A45="","",Fleet!A45)</f>
        <v/>
      </c>
      <c r="B46" s="41" t="str">
        <f aca="false">IF(Fleet!A45="","",Fleet!B45&amp;" "&amp;Fleet!C45)</f>
        <v/>
      </c>
      <c r="C46" s="42" t="str">
        <f aca="false">IF($A46="","",IF(AND(Fleet!$A$45&lt;&gt;"",N(Fleet!$E$45)&lt;=EOMONTH($B$3,0),OR(Fleet!$F$45="",N(Fleet!$F$45)&gt;=$B$3)),1,0))</f>
        <v/>
      </c>
      <c r="D46" s="43" t="str">
        <f aca="false">IF($A46="","",SUMIFS(Trips!$E$5:$E$1004,Trips!$B$5:$B$1004,$A46,Trips!$L$5:$L$1004,$B$3))</f>
        <v/>
      </c>
      <c r="E46" s="44" t="str">
        <f aca="false">IF(OR($A46="",N(C46)=0),"",D46/DAY(EOMONTH($B$3,0)))</f>
        <v/>
      </c>
      <c r="F46" s="45" t="str">
        <f aca="false">IF($A46="","",SUMIFS(Trips!$H$5:$H$1004,Trips!$B$5:$B$1004,$A46,Trips!$L$5:$L$1004,$B$3)+SUMIFS(Trips!$I$5:$I$1004,Trips!$B$5:$B$1004,$A46,Trips!$L$5:$L$1004,$B$3))</f>
        <v/>
      </c>
      <c r="G46" s="45" t="str">
        <f aca="false">IF($A46="","",SUMIFS(Trips!$J$5:$J$1004,Trips!$B$5:$B$1004,$A46,Trips!$L$5:$L$1004,$B$3)+SUMIFS(Expenses!$E$5:$E$1004,Expenses!$B$5:$B$1004,$A46,Expenses!$G$5:$G$1004,$B$3))</f>
        <v/>
      </c>
      <c r="H46" s="45" t="str">
        <f aca="false">IF($A46="","",Fleet!$O$45*C46)</f>
        <v/>
      </c>
      <c r="I46" s="45" t="str">
        <f aca="false">IF($A46="","",F46-G46-H46)</f>
        <v/>
      </c>
      <c r="J46" s="45" t="str">
        <f aca="false">IF($A46="","",(SUMIFS(Trips!$H$5:$H$1004,Trips!$B$5:$B$1004,$A46,Trips!$L$5:$L$1004,EDATE($B$3,-1))+SUMIFS(Trips!$I$5:$I$1004,Trips!$B$5:$B$1004,$A46,Trips!$L$5:$L$1004,EDATE($B$3,-1))-SUMIFS(Trips!$J$5:$J$1004,Trips!$B$5:$B$1004,$A46,Trips!$L$5:$L$1004,EDATE($B$3,-1))-SUMIFS(Expenses!$E$5:$E$1004,Expenses!$B$5:$B$1004,$A46,Expenses!$G$5:$G$1004,EDATE($B$3,-1))-Fleet!$O$45*IF(AND(Fleet!$A$45&lt;&gt;"",N(Fleet!$E$45)&lt;=EOMONTH(EDATE($B$3,-1),0),OR(Fleet!$F$45="",N(Fleet!$F$45)&gt;=EDATE($B$3,-1))),1,0)))</f>
        <v/>
      </c>
      <c r="K46" s="45" t="str">
        <f aca="false">IF($A46="","",(SUMIFS(Trips!$H$5:$H$1004,Trips!$B$5:$B$1004,$A46,Trips!$L$5:$L$1004,EDATE($B$3,-2))+SUMIFS(Trips!$I$5:$I$1004,Trips!$B$5:$B$1004,$A46,Trips!$L$5:$L$1004,EDATE($B$3,-2))-SUMIFS(Trips!$J$5:$J$1004,Trips!$B$5:$B$1004,$A46,Trips!$L$5:$L$1004,EDATE($B$3,-2))-SUMIFS(Expenses!$E$5:$E$1004,Expenses!$B$5:$B$1004,$A46,Expenses!$G$5:$G$1004,EDATE($B$3,-2))-Fleet!$O$45*IF(AND(Fleet!$A$45&lt;&gt;"",N(Fleet!$E$45)&lt;=EOMONTH(EDATE($B$3,-2),0),OR(Fleet!$F$45="",N(Fleet!$F$45)&gt;=EDATE($B$3,-2))),1,0)))</f>
        <v/>
      </c>
      <c r="L46" s="45" t="str">
        <f aca="false">IF($A46="","",SUMIFS(Trips!$M$5:$M$1004,Trips!$B$5:$B$1004,$A46,Trips!$L$5:$L$1004,"&lt;="&amp;$B$3)-SUMIFS(Expenses!$E$5:$E$1004,Expenses!$B$5:$B$1004,$A46,Expenses!$G$5:$G$1004,"&lt;="&amp;$B$3)-Fleet!$O$45*IF(N(Fleet!$E$45)=0,0,MAX(0,(YEAR(IF(Fleet!$F$45="",EOMONTH($B$3,0),MIN(Fleet!$F$45,EOMONTH($B$3,0))))-YEAR(Fleet!$E$45))*12+MONTH(IF(Fleet!$F$45="",EOMONTH($B$3,0),MIN(Fleet!$F$45,EOMONTH($B$3,0))))-MONTH(Fleet!$E$45)+1)))</f>
        <v/>
      </c>
      <c r="M46" s="46" t="str">
        <f aca="false">IF($A46="","",Fleet!$H$45)</f>
        <v/>
      </c>
      <c r="N46" s="44" t="str">
        <f aca="false">IF(OR($A46="",N(M46)=0),"",L46/M46)</f>
        <v/>
      </c>
      <c r="O46" s="2" t="str">
        <f aca="false">IF(OR($A46="",N(C46)=0),"",IF(AND(I46&lt;0,J46&lt;0,K46&lt;0),"REVIEW: 3 losing months",IF(I46&lt;Assumptions!$B$9,"Below net target",IF(E46&lt;Assumptions!$B$8,"Low utilization","On track"))))</f>
        <v/>
      </c>
    </row>
    <row r="47" customFormat="false" ht="15" hidden="false" customHeight="false" outlineLevel="0" collapsed="false">
      <c r="A47" s="41" t="str">
        <f aca="false">IF(Fleet!A46="","",Fleet!A46)</f>
        <v/>
      </c>
      <c r="B47" s="41" t="str">
        <f aca="false">IF(Fleet!A46="","",Fleet!B46&amp;" "&amp;Fleet!C46)</f>
        <v/>
      </c>
      <c r="C47" s="42" t="str">
        <f aca="false">IF($A47="","",IF(AND(Fleet!$A$46&lt;&gt;"",N(Fleet!$E$46)&lt;=EOMONTH($B$3,0),OR(Fleet!$F$46="",N(Fleet!$F$46)&gt;=$B$3)),1,0))</f>
        <v/>
      </c>
      <c r="D47" s="43" t="str">
        <f aca="false">IF($A47="","",SUMIFS(Trips!$E$5:$E$1004,Trips!$B$5:$B$1004,$A47,Trips!$L$5:$L$1004,$B$3))</f>
        <v/>
      </c>
      <c r="E47" s="44" t="str">
        <f aca="false">IF(OR($A47="",N(C47)=0),"",D47/DAY(EOMONTH($B$3,0)))</f>
        <v/>
      </c>
      <c r="F47" s="45" t="str">
        <f aca="false">IF($A47="","",SUMIFS(Trips!$H$5:$H$1004,Trips!$B$5:$B$1004,$A47,Trips!$L$5:$L$1004,$B$3)+SUMIFS(Trips!$I$5:$I$1004,Trips!$B$5:$B$1004,$A47,Trips!$L$5:$L$1004,$B$3))</f>
        <v/>
      </c>
      <c r="G47" s="45" t="str">
        <f aca="false">IF($A47="","",SUMIFS(Trips!$J$5:$J$1004,Trips!$B$5:$B$1004,$A47,Trips!$L$5:$L$1004,$B$3)+SUMIFS(Expenses!$E$5:$E$1004,Expenses!$B$5:$B$1004,$A47,Expenses!$G$5:$G$1004,$B$3))</f>
        <v/>
      </c>
      <c r="H47" s="45" t="str">
        <f aca="false">IF($A47="","",Fleet!$O$46*C47)</f>
        <v/>
      </c>
      <c r="I47" s="45" t="str">
        <f aca="false">IF($A47="","",F47-G47-H47)</f>
        <v/>
      </c>
      <c r="J47" s="45" t="str">
        <f aca="false">IF($A47="","",(SUMIFS(Trips!$H$5:$H$1004,Trips!$B$5:$B$1004,$A47,Trips!$L$5:$L$1004,EDATE($B$3,-1))+SUMIFS(Trips!$I$5:$I$1004,Trips!$B$5:$B$1004,$A47,Trips!$L$5:$L$1004,EDATE($B$3,-1))-SUMIFS(Trips!$J$5:$J$1004,Trips!$B$5:$B$1004,$A47,Trips!$L$5:$L$1004,EDATE($B$3,-1))-SUMIFS(Expenses!$E$5:$E$1004,Expenses!$B$5:$B$1004,$A47,Expenses!$G$5:$G$1004,EDATE($B$3,-1))-Fleet!$O$46*IF(AND(Fleet!$A$46&lt;&gt;"",N(Fleet!$E$46)&lt;=EOMONTH(EDATE($B$3,-1),0),OR(Fleet!$F$46="",N(Fleet!$F$46)&gt;=EDATE($B$3,-1))),1,0)))</f>
        <v/>
      </c>
      <c r="K47" s="45" t="str">
        <f aca="false">IF($A47="","",(SUMIFS(Trips!$H$5:$H$1004,Trips!$B$5:$B$1004,$A47,Trips!$L$5:$L$1004,EDATE($B$3,-2))+SUMIFS(Trips!$I$5:$I$1004,Trips!$B$5:$B$1004,$A47,Trips!$L$5:$L$1004,EDATE($B$3,-2))-SUMIFS(Trips!$J$5:$J$1004,Trips!$B$5:$B$1004,$A47,Trips!$L$5:$L$1004,EDATE($B$3,-2))-SUMIFS(Expenses!$E$5:$E$1004,Expenses!$B$5:$B$1004,$A47,Expenses!$G$5:$G$1004,EDATE($B$3,-2))-Fleet!$O$46*IF(AND(Fleet!$A$46&lt;&gt;"",N(Fleet!$E$46)&lt;=EOMONTH(EDATE($B$3,-2),0),OR(Fleet!$F$46="",N(Fleet!$F$46)&gt;=EDATE($B$3,-2))),1,0)))</f>
        <v/>
      </c>
      <c r="L47" s="45" t="str">
        <f aca="false">IF($A47="","",SUMIFS(Trips!$M$5:$M$1004,Trips!$B$5:$B$1004,$A47,Trips!$L$5:$L$1004,"&lt;="&amp;$B$3)-SUMIFS(Expenses!$E$5:$E$1004,Expenses!$B$5:$B$1004,$A47,Expenses!$G$5:$G$1004,"&lt;="&amp;$B$3)-Fleet!$O$46*IF(N(Fleet!$E$46)=0,0,MAX(0,(YEAR(IF(Fleet!$F$46="",EOMONTH($B$3,0),MIN(Fleet!$F$46,EOMONTH($B$3,0))))-YEAR(Fleet!$E$46))*12+MONTH(IF(Fleet!$F$46="",EOMONTH($B$3,0),MIN(Fleet!$F$46,EOMONTH($B$3,0))))-MONTH(Fleet!$E$46)+1)))</f>
        <v/>
      </c>
      <c r="M47" s="46" t="str">
        <f aca="false">IF($A47="","",Fleet!$H$46)</f>
        <v/>
      </c>
      <c r="N47" s="44" t="str">
        <f aca="false">IF(OR($A47="",N(M47)=0),"",L47/M47)</f>
        <v/>
      </c>
      <c r="O47" s="2" t="str">
        <f aca="false">IF(OR($A47="",N(C47)=0),"",IF(AND(I47&lt;0,J47&lt;0,K47&lt;0),"REVIEW: 3 losing months",IF(I47&lt;Assumptions!$B$9,"Below net target",IF(E47&lt;Assumptions!$B$8,"Low utilization","On track"))))</f>
        <v/>
      </c>
    </row>
    <row r="48" customFormat="false" ht="15" hidden="false" customHeight="false" outlineLevel="0" collapsed="false">
      <c r="A48" s="41" t="str">
        <f aca="false">IF(Fleet!A47="","",Fleet!A47)</f>
        <v/>
      </c>
      <c r="B48" s="41" t="str">
        <f aca="false">IF(Fleet!A47="","",Fleet!B47&amp;" "&amp;Fleet!C47)</f>
        <v/>
      </c>
      <c r="C48" s="42" t="str">
        <f aca="false">IF($A48="","",IF(AND(Fleet!$A$47&lt;&gt;"",N(Fleet!$E$47)&lt;=EOMONTH($B$3,0),OR(Fleet!$F$47="",N(Fleet!$F$47)&gt;=$B$3)),1,0))</f>
        <v/>
      </c>
      <c r="D48" s="43" t="str">
        <f aca="false">IF($A48="","",SUMIFS(Trips!$E$5:$E$1004,Trips!$B$5:$B$1004,$A48,Trips!$L$5:$L$1004,$B$3))</f>
        <v/>
      </c>
      <c r="E48" s="44" t="str">
        <f aca="false">IF(OR($A48="",N(C48)=0),"",D48/DAY(EOMONTH($B$3,0)))</f>
        <v/>
      </c>
      <c r="F48" s="45" t="str">
        <f aca="false">IF($A48="","",SUMIFS(Trips!$H$5:$H$1004,Trips!$B$5:$B$1004,$A48,Trips!$L$5:$L$1004,$B$3)+SUMIFS(Trips!$I$5:$I$1004,Trips!$B$5:$B$1004,$A48,Trips!$L$5:$L$1004,$B$3))</f>
        <v/>
      </c>
      <c r="G48" s="45" t="str">
        <f aca="false">IF($A48="","",SUMIFS(Trips!$J$5:$J$1004,Trips!$B$5:$B$1004,$A48,Trips!$L$5:$L$1004,$B$3)+SUMIFS(Expenses!$E$5:$E$1004,Expenses!$B$5:$B$1004,$A48,Expenses!$G$5:$G$1004,$B$3))</f>
        <v/>
      </c>
      <c r="H48" s="45" t="str">
        <f aca="false">IF($A48="","",Fleet!$O$47*C48)</f>
        <v/>
      </c>
      <c r="I48" s="45" t="str">
        <f aca="false">IF($A48="","",F48-G48-H48)</f>
        <v/>
      </c>
      <c r="J48" s="45" t="str">
        <f aca="false">IF($A48="","",(SUMIFS(Trips!$H$5:$H$1004,Trips!$B$5:$B$1004,$A48,Trips!$L$5:$L$1004,EDATE($B$3,-1))+SUMIFS(Trips!$I$5:$I$1004,Trips!$B$5:$B$1004,$A48,Trips!$L$5:$L$1004,EDATE($B$3,-1))-SUMIFS(Trips!$J$5:$J$1004,Trips!$B$5:$B$1004,$A48,Trips!$L$5:$L$1004,EDATE($B$3,-1))-SUMIFS(Expenses!$E$5:$E$1004,Expenses!$B$5:$B$1004,$A48,Expenses!$G$5:$G$1004,EDATE($B$3,-1))-Fleet!$O$47*IF(AND(Fleet!$A$47&lt;&gt;"",N(Fleet!$E$47)&lt;=EOMONTH(EDATE($B$3,-1),0),OR(Fleet!$F$47="",N(Fleet!$F$47)&gt;=EDATE($B$3,-1))),1,0)))</f>
        <v/>
      </c>
      <c r="K48" s="45" t="str">
        <f aca="false">IF($A48="","",(SUMIFS(Trips!$H$5:$H$1004,Trips!$B$5:$B$1004,$A48,Trips!$L$5:$L$1004,EDATE($B$3,-2))+SUMIFS(Trips!$I$5:$I$1004,Trips!$B$5:$B$1004,$A48,Trips!$L$5:$L$1004,EDATE($B$3,-2))-SUMIFS(Trips!$J$5:$J$1004,Trips!$B$5:$B$1004,$A48,Trips!$L$5:$L$1004,EDATE($B$3,-2))-SUMIFS(Expenses!$E$5:$E$1004,Expenses!$B$5:$B$1004,$A48,Expenses!$G$5:$G$1004,EDATE($B$3,-2))-Fleet!$O$47*IF(AND(Fleet!$A$47&lt;&gt;"",N(Fleet!$E$47)&lt;=EOMONTH(EDATE($B$3,-2),0),OR(Fleet!$F$47="",N(Fleet!$F$47)&gt;=EDATE($B$3,-2))),1,0)))</f>
        <v/>
      </c>
      <c r="L48" s="45" t="str">
        <f aca="false">IF($A48="","",SUMIFS(Trips!$M$5:$M$1004,Trips!$B$5:$B$1004,$A48,Trips!$L$5:$L$1004,"&lt;="&amp;$B$3)-SUMIFS(Expenses!$E$5:$E$1004,Expenses!$B$5:$B$1004,$A48,Expenses!$G$5:$G$1004,"&lt;="&amp;$B$3)-Fleet!$O$47*IF(N(Fleet!$E$47)=0,0,MAX(0,(YEAR(IF(Fleet!$F$47="",EOMONTH($B$3,0),MIN(Fleet!$F$47,EOMONTH($B$3,0))))-YEAR(Fleet!$E$47))*12+MONTH(IF(Fleet!$F$47="",EOMONTH($B$3,0),MIN(Fleet!$F$47,EOMONTH($B$3,0))))-MONTH(Fleet!$E$47)+1)))</f>
        <v/>
      </c>
      <c r="M48" s="46" t="str">
        <f aca="false">IF($A48="","",Fleet!$H$47)</f>
        <v/>
      </c>
      <c r="N48" s="44" t="str">
        <f aca="false">IF(OR($A48="",N(M48)=0),"",L48/M48)</f>
        <v/>
      </c>
      <c r="O48" s="2" t="str">
        <f aca="false">IF(OR($A48="",N(C48)=0),"",IF(AND(I48&lt;0,J48&lt;0,K48&lt;0),"REVIEW: 3 losing months",IF(I48&lt;Assumptions!$B$9,"Below net target",IF(E48&lt;Assumptions!$B$8,"Low utilization","On track"))))</f>
        <v/>
      </c>
    </row>
    <row r="49" customFormat="false" ht="15" hidden="false" customHeight="false" outlineLevel="0" collapsed="false">
      <c r="A49" s="41" t="str">
        <f aca="false">IF(Fleet!A48="","",Fleet!A48)</f>
        <v/>
      </c>
      <c r="B49" s="41" t="str">
        <f aca="false">IF(Fleet!A48="","",Fleet!B48&amp;" "&amp;Fleet!C48)</f>
        <v/>
      </c>
      <c r="C49" s="42" t="str">
        <f aca="false">IF($A49="","",IF(AND(Fleet!$A$48&lt;&gt;"",N(Fleet!$E$48)&lt;=EOMONTH($B$3,0),OR(Fleet!$F$48="",N(Fleet!$F$48)&gt;=$B$3)),1,0))</f>
        <v/>
      </c>
      <c r="D49" s="43" t="str">
        <f aca="false">IF($A49="","",SUMIFS(Trips!$E$5:$E$1004,Trips!$B$5:$B$1004,$A49,Trips!$L$5:$L$1004,$B$3))</f>
        <v/>
      </c>
      <c r="E49" s="44" t="str">
        <f aca="false">IF(OR($A49="",N(C49)=0),"",D49/DAY(EOMONTH($B$3,0)))</f>
        <v/>
      </c>
      <c r="F49" s="45" t="str">
        <f aca="false">IF($A49="","",SUMIFS(Trips!$H$5:$H$1004,Trips!$B$5:$B$1004,$A49,Trips!$L$5:$L$1004,$B$3)+SUMIFS(Trips!$I$5:$I$1004,Trips!$B$5:$B$1004,$A49,Trips!$L$5:$L$1004,$B$3))</f>
        <v/>
      </c>
      <c r="G49" s="45" t="str">
        <f aca="false">IF($A49="","",SUMIFS(Trips!$J$5:$J$1004,Trips!$B$5:$B$1004,$A49,Trips!$L$5:$L$1004,$B$3)+SUMIFS(Expenses!$E$5:$E$1004,Expenses!$B$5:$B$1004,$A49,Expenses!$G$5:$G$1004,$B$3))</f>
        <v/>
      </c>
      <c r="H49" s="45" t="str">
        <f aca="false">IF($A49="","",Fleet!$O$48*C49)</f>
        <v/>
      </c>
      <c r="I49" s="45" t="str">
        <f aca="false">IF($A49="","",F49-G49-H49)</f>
        <v/>
      </c>
      <c r="J49" s="45" t="str">
        <f aca="false">IF($A49="","",(SUMIFS(Trips!$H$5:$H$1004,Trips!$B$5:$B$1004,$A49,Trips!$L$5:$L$1004,EDATE($B$3,-1))+SUMIFS(Trips!$I$5:$I$1004,Trips!$B$5:$B$1004,$A49,Trips!$L$5:$L$1004,EDATE($B$3,-1))-SUMIFS(Trips!$J$5:$J$1004,Trips!$B$5:$B$1004,$A49,Trips!$L$5:$L$1004,EDATE($B$3,-1))-SUMIFS(Expenses!$E$5:$E$1004,Expenses!$B$5:$B$1004,$A49,Expenses!$G$5:$G$1004,EDATE($B$3,-1))-Fleet!$O$48*IF(AND(Fleet!$A$48&lt;&gt;"",N(Fleet!$E$48)&lt;=EOMONTH(EDATE($B$3,-1),0),OR(Fleet!$F$48="",N(Fleet!$F$48)&gt;=EDATE($B$3,-1))),1,0)))</f>
        <v/>
      </c>
      <c r="K49" s="45" t="str">
        <f aca="false">IF($A49="","",(SUMIFS(Trips!$H$5:$H$1004,Trips!$B$5:$B$1004,$A49,Trips!$L$5:$L$1004,EDATE($B$3,-2))+SUMIFS(Trips!$I$5:$I$1004,Trips!$B$5:$B$1004,$A49,Trips!$L$5:$L$1004,EDATE($B$3,-2))-SUMIFS(Trips!$J$5:$J$1004,Trips!$B$5:$B$1004,$A49,Trips!$L$5:$L$1004,EDATE($B$3,-2))-SUMIFS(Expenses!$E$5:$E$1004,Expenses!$B$5:$B$1004,$A49,Expenses!$G$5:$G$1004,EDATE($B$3,-2))-Fleet!$O$48*IF(AND(Fleet!$A$48&lt;&gt;"",N(Fleet!$E$48)&lt;=EOMONTH(EDATE($B$3,-2),0),OR(Fleet!$F$48="",N(Fleet!$F$48)&gt;=EDATE($B$3,-2))),1,0)))</f>
        <v/>
      </c>
      <c r="L49" s="45" t="str">
        <f aca="false">IF($A49="","",SUMIFS(Trips!$M$5:$M$1004,Trips!$B$5:$B$1004,$A49,Trips!$L$5:$L$1004,"&lt;="&amp;$B$3)-SUMIFS(Expenses!$E$5:$E$1004,Expenses!$B$5:$B$1004,$A49,Expenses!$G$5:$G$1004,"&lt;="&amp;$B$3)-Fleet!$O$48*IF(N(Fleet!$E$48)=0,0,MAX(0,(YEAR(IF(Fleet!$F$48="",EOMONTH($B$3,0),MIN(Fleet!$F$48,EOMONTH($B$3,0))))-YEAR(Fleet!$E$48))*12+MONTH(IF(Fleet!$F$48="",EOMONTH($B$3,0),MIN(Fleet!$F$48,EOMONTH($B$3,0))))-MONTH(Fleet!$E$48)+1)))</f>
        <v/>
      </c>
      <c r="M49" s="46" t="str">
        <f aca="false">IF($A49="","",Fleet!$H$48)</f>
        <v/>
      </c>
      <c r="N49" s="44" t="str">
        <f aca="false">IF(OR($A49="",N(M49)=0),"",L49/M49)</f>
        <v/>
      </c>
      <c r="O49" s="2" t="str">
        <f aca="false">IF(OR($A49="",N(C49)=0),"",IF(AND(I49&lt;0,J49&lt;0,K49&lt;0),"REVIEW: 3 losing months",IF(I49&lt;Assumptions!$B$9,"Below net target",IF(E49&lt;Assumptions!$B$8,"Low utilization","On track"))))</f>
        <v/>
      </c>
    </row>
    <row r="50" customFormat="false" ht="15" hidden="false" customHeight="false" outlineLevel="0" collapsed="false">
      <c r="A50" s="41" t="str">
        <f aca="false">IF(Fleet!A49="","",Fleet!A49)</f>
        <v/>
      </c>
      <c r="B50" s="41" t="str">
        <f aca="false">IF(Fleet!A49="","",Fleet!B49&amp;" "&amp;Fleet!C49)</f>
        <v/>
      </c>
      <c r="C50" s="42" t="str">
        <f aca="false">IF($A50="","",IF(AND(Fleet!$A$49&lt;&gt;"",N(Fleet!$E$49)&lt;=EOMONTH($B$3,0),OR(Fleet!$F$49="",N(Fleet!$F$49)&gt;=$B$3)),1,0))</f>
        <v/>
      </c>
      <c r="D50" s="43" t="str">
        <f aca="false">IF($A50="","",SUMIFS(Trips!$E$5:$E$1004,Trips!$B$5:$B$1004,$A50,Trips!$L$5:$L$1004,$B$3))</f>
        <v/>
      </c>
      <c r="E50" s="44" t="str">
        <f aca="false">IF(OR($A50="",N(C50)=0),"",D50/DAY(EOMONTH($B$3,0)))</f>
        <v/>
      </c>
      <c r="F50" s="45" t="str">
        <f aca="false">IF($A50="","",SUMIFS(Trips!$H$5:$H$1004,Trips!$B$5:$B$1004,$A50,Trips!$L$5:$L$1004,$B$3)+SUMIFS(Trips!$I$5:$I$1004,Trips!$B$5:$B$1004,$A50,Trips!$L$5:$L$1004,$B$3))</f>
        <v/>
      </c>
      <c r="G50" s="45" t="str">
        <f aca="false">IF($A50="","",SUMIFS(Trips!$J$5:$J$1004,Trips!$B$5:$B$1004,$A50,Trips!$L$5:$L$1004,$B$3)+SUMIFS(Expenses!$E$5:$E$1004,Expenses!$B$5:$B$1004,$A50,Expenses!$G$5:$G$1004,$B$3))</f>
        <v/>
      </c>
      <c r="H50" s="45" t="str">
        <f aca="false">IF($A50="","",Fleet!$O$49*C50)</f>
        <v/>
      </c>
      <c r="I50" s="45" t="str">
        <f aca="false">IF($A50="","",F50-G50-H50)</f>
        <v/>
      </c>
      <c r="J50" s="45" t="str">
        <f aca="false">IF($A50="","",(SUMIFS(Trips!$H$5:$H$1004,Trips!$B$5:$B$1004,$A50,Trips!$L$5:$L$1004,EDATE($B$3,-1))+SUMIFS(Trips!$I$5:$I$1004,Trips!$B$5:$B$1004,$A50,Trips!$L$5:$L$1004,EDATE($B$3,-1))-SUMIFS(Trips!$J$5:$J$1004,Trips!$B$5:$B$1004,$A50,Trips!$L$5:$L$1004,EDATE($B$3,-1))-SUMIFS(Expenses!$E$5:$E$1004,Expenses!$B$5:$B$1004,$A50,Expenses!$G$5:$G$1004,EDATE($B$3,-1))-Fleet!$O$49*IF(AND(Fleet!$A$49&lt;&gt;"",N(Fleet!$E$49)&lt;=EOMONTH(EDATE($B$3,-1),0),OR(Fleet!$F$49="",N(Fleet!$F$49)&gt;=EDATE($B$3,-1))),1,0)))</f>
        <v/>
      </c>
      <c r="K50" s="45" t="str">
        <f aca="false">IF($A50="","",(SUMIFS(Trips!$H$5:$H$1004,Trips!$B$5:$B$1004,$A50,Trips!$L$5:$L$1004,EDATE($B$3,-2))+SUMIFS(Trips!$I$5:$I$1004,Trips!$B$5:$B$1004,$A50,Trips!$L$5:$L$1004,EDATE($B$3,-2))-SUMIFS(Trips!$J$5:$J$1004,Trips!$B$5:$B$1004,$A50,Trips!$L$5:$L$1004,EDATE($B$3,-2))-SUMIFS(Expenses!$E$5:$E$1004,Expenses!$B$5:$B$1004,$A50,Expenses!$G$5:$G$1004,EDATE($B$3,-2))-Fleet!$O$49*IF(AND(Fleet!$A$49&lt;&gt;"",N(Fleet!$E$49)&lt;=EOMONTH(EDATE($B$3,-2),0),OR(Fleet!$F$49="",N(Fleet!$F$49)&gt;=EDATE($B$3,-2))),1,0)))</f>
        <v/>
      </c>
      <c r="L50" s="45" t="str">
        <f aca="false">IF($A50="","",SUMIFS(Trips!$M$5:$M$1004,Trips!$B$5:$B$1004,$A50,Trips!$L$5:$L$1004,"&lt;="&amp;$B$3)-SUMIFS(Expenses!$E$5:$E$1004,Expenses!$B$5:$B$1004,$A50,Expenses!$G$5:$G$1004,"&lt;="&amp;$B$3)-Fleet!$O$49*IF(N(Fleet!$E$49)=0,0,MAX(0,(YEAR(IF(Fleet!$F$49="",EOMONTH($B$3,0),MIN(Fleet!$F$49,EOMONTH($B$3,0))))-YEAR(Fleet!$E$49))*12+MONTH(IF(Fleet!$F$49="",EOMONTH($B$3,0),MIN(Fleet!$F$49,EOMONTH($B$3,0))))-MONTH(Fleet!$E$49)+1)))</f>
        <v/>
      </c>
      <c r="M50" s="46" t="str">
        <f aca="false">IF($A50="","",Fleet!$H$49)</f>
        <v/>
      </c>
      <c r="N50" s="44" t="str">
        <f aca="false">IF(OR($A50="",N(M50)=0),"",L50/M50)</f>
        <v/>
      </c>
      <c r="O50" s="2" t="str">
        <f aca="false">IF(OR($A50="",N(C50)=0),"",IF(AND(I50&lt;0,J50&lt;0,K50&lt;0),"REVIEW: 3 losing months",IF(I50&lt;Assumptions!$B$9,"Below net target",IF(E50&lt;Assumptions!$B$8,"Low utilization","On track"))))</f>
        <v/>
      </c>
    </row>
    <row r="51" customFormat="false" ht="15" hidden="false" customHeight="false" outlineLevel="0" collapsed="false">
      <c r="A51" s="41" t="str">
        <f aca="false">IF(Fleet!A50="","",Fleet!A50)</f>
        <v/>
      </c>
      <c r="B51" s="41" t="str">
        <f aca="false">IF(Fleet!A50="","",Fleet!B50&amp;" "&amp;Fleet!C50)</f>
        <v/>
      </c>
      <c r="C51" s="42" t="str">
        <f aca="false">IF($A51="","",IF(AND(Fleet!$A$50&lt;&gt;"",N(Fleet!$E$50)&lt;=EOMONTH($B$3,0),OR(Fleet!$F$50="",N(Fleet!$F$50)&gt;=$B$3)),1,0))</f>
        <v/>
      </c>
      <c r="D51" s="43" t="str">
        <f aca="false">IF($A51="","",SUMIFS(Trips!$E$5:$E$1004,Trips!$B$5:$B$1004,$A51,Trips!$L$5:$L$1004,$B$3))</f>
        <v/>
      </c>
      <c r="E51" s="44" t="str">
        <f aca="false">IF(OR($A51="",N(C51)=0),"",D51/DAY(EOMONTH($B$3,0)))</f>
        <v/>
      </c>
      <c r="F51" s="45" t="str">
        <f aca="false">IF($A51="","",SUMIFS(Trips!$H$5:$H$1004,Trips!$B$5:$B$1004,$A51,Trips!$L$5:$L$1004,$B$3)+SUMIFS(Trips!$I$5:$I$1004,Trips!$B$5:$B$1004,$A51,Trips!$L$5:$L$1004,$B$3))</f>
        <v/>
      </c>
      <c r="G51" s="45" t="str">
        <f aca="false">IF($A51="","",SUMIFS(Trips!$J$5:$J$1004,Trips!$B$5:$B$1004,$A51,Trips!$L$5:$L$1004,$B$3)+SUMIFS(Expenses!$E$5:$E$1004,Expenses!$B$5:$B$1004,$A51,Expenses!$G$5:$G$1004,$B$3))</f>
        <v/>
      </c>
      <c r="H51" s="45" t="str">
        <f aca="false">IF($A51="","",Fleet!$O$50*C51)</f>
        <v/>
      </c>
      <c r="I51" s="45" t="str">
        <f aca="false">IF($A51="","",F51-G51-H51)</f>
        <v/>
      </c>
      <c r="J51" s="45" t="str">
        <f aca="false">IF($A51="","",(SUMIFS(Trips!$H$5:$H$1004,Trips!$B$5:$B$1004,$A51,Trips!$L$5:$L$1004,EDATE($B$3,-1))+SUMIFS(Trips!$I$5:$I$1004,Trips!$B$5:$B$1004,$A51,Trips!$L$5:$L$1004,EDATE($B$3,-1))-SUMIFS(Trips!$J$5:$J$1004,Trips!$B$5:$B$1004,$A51,Trips!$L$5:$L$1004,EDATE($B$3,-1))-SUMIFS(Expenses!$E$5:$E$1004,Expenses!$B$5:$B$1004,$A51,Expenses!$G$5:$G$1004,EDATE($B$3,-1))-Fleet!$O$50*IF(AND(Fleet!$A$50&lt;&gt;"",N(Fleet!$E$50)&lt;=EOMONTH(EDATE($B$3,-1),0),OR(Fleet!$F$50="",N(Fleet!$F$50)&gt;=EDATE($B$3,-1))),1,0)))</f>
        <v/>
      </c>
      <c r="K51" s="45" t="str">
        <f aca="false">IF($A51="","",(SUMIFS(Trips!$H$5:$H$1004,Trips!$B$5:$B$1004,$A51,Trips!$L$5:$L$1004,EDATE($B$3,-2))+SUMIFS(Trips!$I$5:$I$1004,Trips!$B$5:$B$1004,$A51,Trips!$L$5:$L$1004,EDATE($B$3,-2))-SUMIFS(Trips!$J$5:$J$1004,Trips!$B$5:$B$1004,$A51,Trips!$L$5:$L$1004,EDATE($B$3,-2))-SUMIFS(Expenses!$E$5:$E$1004,Expenses!$B$5:$B$1004,$A51,Expenses!$G$5:$G$1004,EDATE($B$3,-2))-Fleet!$O$50*IF(AND(Fleet!$A$50&lt;&gt;"",N(Fleet!$E$50)&lt;=EOMONTH(EDATE($B$3,-2),0),OR(Fleet!$F$50="",N(Fleet!$F$50)&gt;=EDATE($B$3,-2))),1,0)))</f>
        <v/>
      </c>
      <c r="L51" s="45" t="str">
        <f aca="false">IF($A51="","",SUMIFS(Trips!$M$5:$M$1004,Trips!$B$5:$B$1004,$A51,Trips!$L$5:$L$1004,"&lt;="&amp;$B$3)-SUMIFS(Expenses!$E$5:$E$1004,Expenses!$B$5:$B$1004,$A51,Expenses!$G$5:$G$1004,"&lt;="&amp;$B$3)-Fleet!$O$50*IF(N(Fleet!$E$50)=0,0,MAX(0,(YEAR(IF(Fleet!$F$50="",EOMONTH($B$3,0),MIN(Fleet!$F$50,EOMONTH($B$3,0))))-YEAR(Fleet!$E$50))*12+MONTH(IF(Fleet!$F$50="",EOMONTH($B$3,0),MIN(Fleet!$F$50,EOMONTH($B$3,0))))-MONTH(Fleet!$E$50)+1)))</f>
        <v/>
      </c>
      <c r="M51" s="46" t="str">
        <f aca="false">IF($A51="","",Fleet!$H$50)</f>
        <v/>
      </c>
      <c r="N51" s="44" t="str">
        <f aca="false">IF(OR($A51="",N(M51)=0),"",L51/M51)</f>
        <v/>
      </c>
      <c r="O51" s="2" t="str">
        <f aca="false">IF(OR($A51="",N(C51)=0),"",IF(AND(I51&lt;0,J51&lt;0,K51&lt;0),"REVIEW: 3 losing months",IF(I51&lt;Assumptions!$B$9,"Below net target",IF(E51&lt;Assumptions!$B$8,"Low utilization","On track"))))</f>
        <v/>
      </c>
    </row>
    <row r="52" customFormat="false" ht="15" hidden="false" customHeight="false" outlineLevel="0" collapsed="false">
      <c r="A52" s="41" t="str">
        <f aca="false">IF(Fleet!A51="","",Fleet!A51)</f>
        <v/>
      </c>
      <c r="B52" s="41" t="str">
        <f aca="false">IF(Fleet!A51="","",Fleet!B51&amp;" "&amp;Fleet!C51)</f>
        <v/>
      </c>
      <c r="C52" s="42" t="str">
        <f aca="false">IF($A52="","",IF(AND(Fleet!$A$51&lt;&gt;"",N(Fleet!$E$51)&lt;=EOMONTH($B$3,0),OR(Fleet!$F$51="",N(Fleet!$F$51)&gt;=$B$3)),1,0))</f>
        <v/>
      </c>
      <c r="D52" s="43" t="str">
        <f aca="false">IF($A52="","",SUMIFS(Trips!$E$5:$E$1004,Trips!$B$5:$B$1004,$A52,Trips!$L$5:$L$1004,$B$3))</f>
        <v/>
      </c>
      <c r="E52" s="44" t="str">
        <f aca="false">IF(OR($A52="",N(C52)=0),"",D52/DAY(EOMONTH($B$3,0)))</f>
        <v/>
      </c>
      <c r="F52" s="45" t="str">
        <f aca="false">IF($A52="","",SUMIFS(Trips!$H$5:$H$1004,Trips!$B$5:$B$1004,$A52,Trips!$L$5:$L$1004,$B$3)+SUMIFS(Trips!$I$5:$I$1004,Trips!$B$5:$B$1004,$A52,Trips!$L$5:$L$1004,$B$3))</f>
        <v/>
      </c>
      <c r="G52" s="45" t="str">
        <f aca="false">IF($A52="","",SUMIFS(Trips!$J$5:$J$1004,Trips!$B$5:$B$1004,$A52,Trips!$L$5:$L$1004,$B$3)+SUMIFS(Expenses!$E$5:$E$1004,Expenses!$B$5:$B$1004,$A52,Expenses!$G$5:$G$1004,$B$3))</f>
        <v/>
      </c>
      <c r="H52" s="45" t="str">
        <f aca="false">IF($A52="","",Fleet!$O$51*C52)</f>
        <v/>
      </c>
      <c r="I52" s="45" t="str">
        <f aca="false">IF($A52="","",F52-G52-H52)</f>
        <v/>
      </c>
      <c r="J52" s="45" t="str">
        <f aca="false">IF($A52="","",(SUMIFS(Trips!$H$5:$H$1004,Trips!$B$5:$B$1004,$A52,Trips!$L$5:$L$1004,EDATE($B$3,-1))+SUMIFS(Trips!$I$5:$I$1004,Trips!$B$5:$B$1004,$A52,Trips!$L$5:$L$1004,EDATE($B$3,-1))-SUMIFS(Trips!$J$5:$J$1004,Trips!$B$5:$B$1004,$A52,Trips!$L$5:$L$1004,EDATE($B$3,-1))-SUMIFS(Expenses!$E$5:$E$1004,Expenses!$B$5:$B$1004,$A52,Expenses!$G$5:$G$1004,EDATE($B$3,-1))-Fleet!$O$51*IF(AND(Fleet!$A$51&lt;&gt;"",N(Fleet!$E$51)&lt;=EOMONTH(EDATE($B$3,-1),0),OR(Fleet!$F$51="",N(Fleet!$F$51)&gt;=EDATE($B$3,-1))),1,0)))</f>
        <v/>
      </c>
      <c r="K52" s="45" t="str">
        <f aca="false">IF($A52="","",(SUMIFS(Trips!$H$5:$H$1004,Trips!$B$5:$B$1004,$A52,Trips!$L$5:$L$1004,EDATE($B$3,-2))+SUMIFS(Trips!$I$5:$I$1004,Trips!$B$5:$B$1004,$A52,Trips!$L$5:$L$1004,EDATE($B$3,-2))-SUMIFS(Trips!$J$5:$J$1004,Trips!$B$5:$B$1004,$A52,Trips!$L$5:$L$1004,EDATE($B$3,-2))-SUMIFS(Expenses!$E$5:$E$1004,Expenses!$B$5:$B$1004,$A52,Expenses!$G$5:$G$1004,EDATE($B$3,-2))-Fleet!$O$51*IF(AND(Fleet!$A$51&lt;&gt;"",N(Fleet!$E$51)&lt;=EOMONTH(EDATE($B$3,-2),0),OR(Fleet!$F$51="",N(Fleet!$F$51)&gt;=EDATE($B$3,-2))),1,0)))</f>
        <v/>
      </c>
      <c r="L52" s="45" t="str">
        <f aca="false">IF($A52="","",SUMIFS(Trips!$M$5:$M$1004,Trips!$B$5:$B$1004,$A52,Trips!$L$5:$L$1004,"&lt;="&amp;$B$3)-SUMIFS(Expenses!$E$5:$E$1004,Expenses!$B$5:$B$1004,$A52,Expenses!$G$5:$G$1004,"&lt;="&amp;$B$3)-Fleet!$O$51*IF(N(Fleet!$E$51)=0,0,MAX(0,(YEAR(IF(Fleet!$F$51="",EOMONTH($B$3,0),MIN(Fleet!$F$51,EOMONTH($B$3,0))))-YEAR(Fleet!$E$51))*12+MONTH(IF(Fleet!$F$51="",EOMONTH($B$3,0),MIN(Fleet!$F$51,EOMONTH($B$3,0))))-MONTH(Fleet!$E$51)+1)))</f>
        <v/>
      </c>
      <c r="M52" s="46" t="str">
        <f aca="false">IF($A52="","",Fleet!$H$51)</f>
        <v/>
      </c>
      <c r="N52" s="44" t="str">
        <f aca="false">IF(OR($A52="",N(M52)=0),"",L52/M52)</f>
        <v/>
      </c>
      <c r="O52" s="2" t="str">
        <f aca="false">IF(OR($A52="",N(C52)=0),"",IF(AND(I52&lt;0,J52&lt;0,K52&lt;0),"REVIEW: 3 losing months",IF(I52&lt;Assumptions!$B$9,"Below net target",IF(E52&lt;Assumptions!$B$8,"Low utilization","On track"))))</f>
        <v/>
      </c>
    </row>
    <row r="53" customFormat="false" ht="15" hidden="false" customHeight="false" outlineLevel="0" collapsed="false">
      <c r="A53" s="41" t="str">
        <f aca="false">IF(Fleet!A52="","",Fleet!A52)</f>
        <v/>
      </c>
      <c r="B53" s="41" t="str">
        <f aca="false">IF(Fleet!A52="","",Fleet!B52&amp;" "&amp;Fleet!C52)</f>
        <v/>
      </c>
      <c r="C53" s="42" t="str">
        <f aca="false">IF($A53="","",IF(AND(Fleet!$A$52&lt;&gt;"",N(Fleet!$E$52)&lt;=EOMONTH($B$3,0),OR(Fleet!$F$52="",N(Fleet!$F$52)&gt;=$B$3)),1,0))</f>
        <v/>
      </c>
      <c r="D53" s="43" t="str">
        <f aca="false">IF($A53="","",SUMIFS(Trips!$E$5:$E$1004,Trips!$B$5:$B$1004,$A53,Trips!$L$5:$L$1004,$B$3))</f>
        <v/>
      </c>
      <c r="E53" s="44" t="str">
        <f aca="false">IF(OR($A53="",N(C53)=0),"",D53/DAY(EOMONTH($B$3,0)))</f>
        <v/>
      </c>
      <c r="F53" s="45" t="str">
        <f aca="false">IF($A53="","",SUMIFS(Trips!$H$5:$H$1004,Trips!$B$5:$B$1004,$A53,Trips!$L$5:$L$1004,$B$3)+SUMIFS(Trips!$I$5:$I$1004,Trips!$B$5:$B$1004,$A53,Trips!$L$5:$L$1004,$B$3))</f>
        <v/>
      </c>
      <c r="G53" s="45" t="str">
        <f aca="false">IF($A53="","",SUMIFS(Trips!$J$5:$J$1004,Trips!$B$5:$B$1004,$A53,Trips!$L$5:$L$1004,$B$3)+SUMIFS(Expenses!$E$5:$E$1004,Expenses!$B$5:$B$1004,$A53,Expenses!$G$5:$G$1004,$B$3))</f>
        <v/>
      </c>
      <c r="H53" s="45" t="str">
        <f aca="false">IF($A53="","",Fleet!$O$52*C53)</f>
        <v/>
      </c>
      <c r="I53" s="45" t="str">
        <f aca="false">IF($A53="","",F53-G53-H53)</f>
        <v/>
      </c>
      <c r="J53" s="45" t="str">
        <f aca="false">IF($A53="","",(SUMIFS(Trips!$H$5:$H$1004,Trips!$B$5:$B$1004,$A53,Trips!$L$5:$L$1004,EDATE($B$3,-1))+SUMIFS(Trips!$I$5:$I$1004,Trips!$B$5:$B$1004,$A53,Trips!$L$5:$L$1004,EDATE($B$3,-1))-SUMIFS(Trips!$J$5:$J$1004,Trips!$B$5:$B$1004,$A53,Trips!$L$5:$L$1004,EDATE($B$3,-1))-SUMIFS(Expenses!$E$5:$E$1004,Expenses!$B$5:$B$1004,$A53,Expenses!$G$5:$G$1004,EDATE($B$3,-1))-Fleet!$O$52*IF(AND(Fleet!$A$52&lt;&gt;"",N(Fleet!$E$52)&lt;=EOMONTH(EDATE($B$3,-1),0),OR(Fleet!$F$52="",N(Fleet!$F$52)&gt;=EDATE($B$3,-1))),1,0)))</f>
        <v/>
      </c>
      <c r="K53" s="45" t="str">
        <f aca="false">IF($A53="","",(SUMIFS(Trips!$H$5:$H$1004,Trips!$B$5:$B$1004,$A53,Trips!$L$5:$L$1004,EDATE($B$3,-2))+SUMIFS(Trips!$I$5:$I$1004,Trips!$B$5:$B$1004,$A53,Trips!$L$5:$L$1004,EDATE($B$3,-2))-SUMIFS(Trips!$J$5:$J$1004,Trips!$B$5:$B$1004,$A53,Trips!$L$5:$L$1004,EDATE($B$3,-2))-SUMIFS(Expenses!$E$5:$E$1004,Expenses!$B$5:$B$1004,$A53,Expenses!$G$5:$G$1004,EDATE($B$3,-2))-Fleet!$O$52*IF(AND(Fleet!$A$52&lt;&gt;"",N(Fleet!$E$52)&lt;=EOMONTH(EDATE($B$3,-2),0),OR(Fleet!$F$52="",N(Fleet!$F$52)&gt;=EDATE($B$3,-2))),1,0)))</f>
        <v/>
      </c>
      <c r="L53" s="45" t="str">
        <f aca="false">IF($A53="","",SUMIFS(Trips!$M$5:$M$1004,Trips!$B$5:$B$1004,$A53,Trips!$L$5:$L$1004,"&lt;="&amp;$B$3)-SUMIFS(Expenses!$E$5:$E$1004,Expenses!$B$5:$B$1004,$A53,Expenses!$G$5:$G$1004,"&lt;="&amp;$B$3)-Fleet!$O$52*IF(N(Fleet!$E$52)=0,0,MAX(0,(YEAR(IF(Fleet!$F$52="",EOMONTH($B$3,0),MIN(Fleet!$F$52,EOMONTH($B$3,0))))-YEAR(Fleet!$E$52))*12+MONTH(IF(Fleet!$F$52="",EOMONTH($B$3,0),MIN(Fleet!$F$52,EOMONTH($B$3,0))))-MONTH(Fleet!$E$52)+1)))</f>
        <v/>
      </c>
      <c r="M53" s="46" t="str">
        <f aca="false">IF($A53="","",Fleet!$H$52)</f>
        <v/>
      </c>
      <c r="N53" s="44" t="str">
        <f aca="false">IF(OR($A53="",N(M53)=0),"",L53/M53)</f>
        <v/>
      </c>
      <c r="O53" s="2" t="str">
        <f aca="false">IF(OR($A53="",N(C53)=0),"",IF(AND(I53&lt;0,J53&lt;0,K53&lt;0),"REVIEW: 3 losing months",IF(I53&lt;Assumptions!$B$9,"Below net target",IF(E53&lt;Assumptions!$B$8,"Low utilization","On track"))))</f>
        <v/>
      </c>
    </row>
    <row r="54" customFormat="false" ht="15" hidden="false" customHeight="false" outlineLevel="0" collapsed="false">
      <c r="A54" s="41" t="str">
        <f aca="false">IF(Fleet!A53="","",Fleet!A53)</f>
        <v/>
      </c>
      <c r="B54" s="41" t="str">
        <f aca="false">IF(Fleet!A53="","",Fleet!B53&amp;" "&amp;Fleet!C53)</f>
        <v/>
      </c>
      <c r="C54" s="42" t="str">
        <f aca="false">IF($A54="","",IF(AND(Fleet!$A$53&lt;&gt;"",N(Fleet!$E$53)&lt;=EOMONTH($B$3,0),OR(Fleet!$F$53="",N(Fleet!$F$53)&gt;=$B$3)),1,0))</f>
        <v/>
      </c>
      <c r="D54" s="43" t="str">
        <f aca="false">IF($A54="","",SUMIFS(Trips!$E$5:$E$1004,Trips!$B$5:$B$1004,$A54,Trips!$L$5:$L$1004,$B$3))</f>
        <v/>
      </c>
      <c r="E54" s="44" t="str">
        <f aca="false">IF(OR($A54="",N(C54)=0),"",D54/DAY(EOMONTH($B$3,0)))</f>
        <v/>
      </c>
      <c r="F54" s="45" t="str">
        <f aca="false">IF($A54="","",SUMIFS(Trips!$H$5:$H$1004,Trips!$B$5:$B$1004,$A54,Trips!$L$5:$L$1004,$B$3)+SUMIFS(Trips!$I$5:$I$1004,Trips!$B$5:$B$1004,$A54,Trips!$L$5:$L$1004,$B$3))</f>
        <v/>
      </c>
      <c r="G54" s="45" t="str">
        <f aca="false">IF($A54="","",SUMIFS(Trips!$J$5:$J$1004,Trips!$B$5:$B$1004,$A54,Trips!$L$5:$L$1004,$B$3)+SUMIFS(Expenses!$E$5:$E$1004,Expenses!$B$5:$B$1004,$A54,Expenses!$G$5:$G$1004,$B$3))</f>
        <v/>
      </c>
      <c r="H54" s="45" t="str">
        <f aca="false">IF($A54="","",Fleet!$O$53*C54)</f>
        <v/>
      </c>
      <c r="I54" s="45" t="str">
        <f aca="false">IF($A54="","",F54-G54-H54)</f>
        <v/>
      </c>
      <c r="J54" s="45" t="str">
        <f aca="false">IF($A54="","",(SUMIFS(Trips!$H$5:$H$1004,Trips!$B$5:$B$1004,$A54,Trips!$L$5:$L$1004,EDATE($B$3,-1))+SUMIFS(Trips!$I$5:$I$1004,Trips!$B$5:$B$1004,$A54,Trips!$L$5:$L$1004,EDATE($B$3,-1))-SUMIFS(Trips!$J$5:$J$1004,Trips!$B$5:$B$1004,$A54,Trips!$L$5:$L$1004,EDATE($B$3,-1))-SUMIFS(Expenses!$E$5:$E$1004,Expenses!$B$5:$B$1004,$A54,Expenses!$G$5:$G$1004,EDATE($B$3,-1))-Fleet!$O$53*IF(AND(Fleet!$A$53&lt;&gt;"",N(Fleet!$E$53)&lt;=EOMONTH(EDATE($B$3,-1),0),OR(Fleet!$F$53="",N(Fleet!$F$53)&gt;=EDATE($B$3,-1))),1,0)))</f>
        <v/>
      </c>
      <c r="K54" s="45" t="str">
        <f aca="false">IF($A54="","",(SUMIFS(Trips!$H$5:$H$1004,Trips!$B$5:$B$1004,$A54,Trips!$L$5:$L$1004,EDATE($B$3,-2))+SUMIFS(Trips!$I$5:$I$1004,Trips!$B$5:$B$1004,$A54,Trips!$L$5:$L$1004,EDATE($B$3,-2))-SUMIFS(Trips!$J$5:$J$1004,Trips!$B$5:$B$1004,$A54,Trips!$L$5:$L$1004,EDATE($B$3,-2))-SUMIFS(Expenses!$E$5:$E$1004,Expenses!$B$5:$B$1004,$A54,Expenses!$G$5:$G$1004,EDATE($B$3,-2))-Fleet!$O$53*IF(AND(Fleet!$A$53&lt;&gt;"",N(Fleet!$E$53)&lt;=EOMONTH(EDATE($B$3,-2),0),OR(Fleet!$F$53="",N(Fleet!$F$53)&gt;=EDATE($B$3,-2))),1,0)))</f>
        <v/>
      </c>
      <c r="L54" s="45" t="str">
        <f aca="false">IF($A54="","",SUMIFS(Trips!$M$5:$M$1004,Trips!$B$5:$B$1004,$A54,Trips!$L$5:$L$1004,"&lt;="&amp;$B$3)-SUMIFS(Expenses!$E$5:$E$1004,Expenses!$B$5:$B$1004,$A54,Expenses!$G$5:$G$1004,"&lt;="&amp;$B$3)-Fleet!$O$53*IF(N(Fleet!$E$53)=0,0,MAX(0,(YEAR(IF(Fleet!$F$53="",EOMONTH($B$3,0),MIN(Fleet!$F$53,EOMONTH($B$3,0))))-YEAR(Fleet!$E$53))*12+MONTH(IF(Fleet!$F$53="",EOMONTH($B$3,0),MIN(Fleet!$F$53,EOMONTH($B$3,0))))-MONTH(Fleet!$E$53)+1)))</f>
        <v/>
      </c>
      <c r="M54" s="46" t="str">
        <f aca="false">IF($A54="","",Fleet!$H$53)</f>
        <v/>
      </c>
      <c r="N54" s="44" t="str">
        <f aca="false">IF(OR($A54="",N(M54)=0),"",L54/M54)</f>
        <v/>
      </c>
      <c r="O54" s="2" t="str">
        <f aca="false">IF(OR($A54="",N(C54)=0),"",IF(AND(I54&lt;0,J54&lt;0,K54&lt;0),"REVIEW: 3 losing months",IF(I54&lt;Assumptions!$B$9,"Below net target",IF(E54&lt;Assumptions!$B$8,"Low utilization","On track"))))</f>
        <v/>
      </c>
    </row>
    <row r="55" customFormat="false" ht="15" hidden="false" customHeight="false" outlineLevel="0" collapsed="false">
      <c r="A55" s="41" t="str">
        <f aca="false">IF(Fleet!A54="","",Fleet!A54)</f>
        <v/>
      </c>
      <c r="B55" s="41" t="str">
        <f aca="false">IF(Fleet!A54="","",Fleet!B54&amp;" "&amp;Fleet!C54)</f>
        <v/>
      </c>
      <c r="C55" s="42" t="str">
        <f aca="false">IF($A55="","",IF(AND(Fleet!$A$54&lt;&gt;"",N(Fleet!$E$54)&lt;=EOMONTH($B$3,0),OR(Fleet!$F$54="",N(Fleet!$F$54)&gt;=$B$3)),1,0))</f>
        <v/>
      </c>
      <c r="D55" s="43" t="str">
        <f aca="false">IF($A55="","",SUMIFS(Trips!$E$5:$E$1004,Trips!$B$5:$B$1004,$A55,Trips!$L$5:$L$1004,$B$3))</f>
        <v/>
      </c>
      <c r="E55" s="44" t="str">
        <f aca="false">IF(OR($A55="",N(C55)=0),"",D55/DAY(EOMONTH($B$3,0)))</f>
        <v/>
      </c>
      <c r="F55" s="45" t="str">
        <f aca="false">IF($A55="","",SUMIFS(Trips!$H$5:$H$1004,Trips!$B$5:$B$1004,$A55,Trips!$L$5:$L$1004,$B$3)+SUMIFS(Trips!$I$5:$I$1004,Trips!$B$5:$B$1004,$A55,Trips!$L$5:$L$1004,$B$3))</f>
        <v/>
      </c>
      <c r="G55" s="45" t="str">
        <f aca="false">IF($A55="","",SUMIFS(Trips!$J$5:$J$1004,Trips!$B$5:$B$1004,$A55,Trips!$L$5:$L$1004,$B$3)+SUMIFS(Expenses!$E$5:$E$1004,Expenses!$B$5:$B$1004,$A55,Expenses!$G$5:$G$1004,$B$3))</f>
        <v/>
      </c>
      <c r="H55" s="45" t="str">
        <f aca="false">IF($A55="","",Fleet!$O$54*C55)</f>
        <v/>
      </c>
      <c r="I55" s="45" t="str">
        <f aca="false">IF($A55="","",F55-G55-H55)</f>
        <v/>
      </c>
      <c r="J55" s="45" t="str">
        <f aca="false">IF($A55="","",(SUMIFS(Trips!$H$5:$H$1004,Trips!$B$5:$B$1004,$A55,Trips!$L$5:$L$1004,EDATE($B$3,-1))+SUMIFS(Trips!$I$5:$I$1004,Trips!$B$5:$B$1004,$A55,Trips!$L$5:$L$1004,EDATE($B$3,-1))-SUMIFS(Trips!$J$5:$J$1004,Trips!$B$5:$B$1004,$A55,Trips!$L$5:$L$1004,EDATE($B$3,-1))-SUMIFS(Expenses!$E$5:$E$1004,Expenses!$B$5:$B$1004,$A55,Expenses!$G$5:$G$1004,EDATE($B$3,-1))-Fleet!$O$54*IF(AND(Fleet!$A$54&lt;&gt;"",N(Fleet!$E$54)&lt;=EOMONTH(EDATE($B$3,-1),0),OR(Fleet!$F$54="",N(Fleet!$F$54)&gt;=EDATE($B$3,-1))),1,0)))</f>
        <v/>
      </c>
      <c r="K55" s="45" t="str">
        <f aca="false">IF($A55="","",(SUMIFS(Trips!$H$5:$H$1004,Trips!$B$5:$B$1004,$A55,Trips!$L$5:$L$1004,EDATE($B$3,-2))+SUMIFS(Trips!$I$5:$I$1004,Trips!$B$5:$B$1004,$A55,Trips!$L$5:$L$1004,EDATE($B$3,-2))-SUMIFS(Trips!$J$5:$J$1004,Trips!$B$5:$B$1004,$A55,Trips!$L$5:$L$1004,EDATE($B$3,-2))-SUMIFS(Expenses!$E$5:$E$1004,Expenses!$B$5:$B$1004,$A55,Expenses!$G$5:$G$1004,EDATE($B$3,-2))-Fleet!$O$54*IF(AND(Fleet!$A$54&lt;&gt;"",N(Fleet!$E$54)&lt;=EOMONTH(EDATE($B$3,-2),0),OR(Fleet!$F$54="",N(Fleet!$F$54)&gt;=EDATE($B$3,-2))),1,0)))</f>
        <v/>
      </c>
      <c r="L55" s="45" t="str">
        <f aca="false">IF($A55="","",SUMIFS(Trips!$M$5:$M$1004,Trips!$B$5:$B$1004,$A55,Trips!$L$5:$L$1004,"&lt;="&amp;$B$3)-SUMIFS(Expenses!$E$5:$E$1004,Expenses!$B$5:$B$1004,$A55,Expenses!$G$5:$G$1004,"&lt;="&amp;$B$3)-Fleet!$O$54*IF(N(Fleet!$E$54)=0,0,MAX(0,(YEAR(IF(Fleet!$F$54="",EOMONTH($B$3,0),MIN(Fleet!$F$54,EOMONTH($B$3,0))))-YEAR(Fleet!$E$54))*12+MONTH(IF(Fleet!$F$54="",EOMONTH($B$3,0),MIN(Fleet!$F$54,EOMONTH($B$3,0))))-MONTH(Fleet!$E$54)+1)))</f>
        <v/>
      </c>
      <c r="M55" s="46" t="str">
        <f aca="false">IF($A55="","",Fleet!$H$54)</f>
        <v/>
      </c>
      <c r="N55" s="44" t="str">
        <f aca="false">IF(OR($A55="",N(M55)=0),"",L55/M55)</f>
        <v/>
      </c>
      <c r="O55" s="2" t="str">
        <f aca="false">IF(OR($A55="",N(C55)=0),"",IF(AND(I55&lt;0,J55&lt;0,K55&lt;0),"REVIEW: 3 losing months",IF(I55&lt;Assumptions!$B$9,"Below net target",IF(E55&lt;Assumptions!$B$8,"Low utilization","On track"))))</f>
        <v/>
      </c>
    </row>
    <row r="56" customFormat="false" ht="15" hidden="false" customHeight="false" outlineLevel="0" collapsed="false">
      <c r="A56" s="41" t="str">
        <f aca="false">IF(Fleet!A55="","",Fleet!A55)</f>
        <v/>
      </c>
      <c r="B56" s="41" t="str">
        <f aca="false">IF(Fleet!A55="","",Fleet!B55&amp;" "&amp;Fleet!C55)</f>
        <v/>
      </c>
      <c r="C56" s="42" t="str">
        <f aca="false">IF($A56="","",IF(AND(Fleet!$A$55&lt;&gt;"",N(Fleet!$E$55)&lt;=EOMONTH($B$3,0),OR(Fleet!$F$55="",N(Fleet!$F$55)&gt;=$B$3)),1,0))</f>
        <v/>
      </c>
      <c r="D56" s="43" t="str">
        <f aca="false">IF($A56="","",SUMIFS(Trips!$E$5:$E$1004,Trips!$B$5:$B$1004,$A56,Trips!$L$5:$L$1004,$B$3))</f>
        <v/>
      </c>
      <c r="E56" s="44" t="str">
        <f aca="false">IF(OR($A56="",N(C56)=0),"",D56/DAY(EOMONTH($B$3,0)))</f>
        <v/>
      </c>
      <c r="F56" s="45" t="str">
        <f aca="false">IF($A56="","",SUMIFS(Trips!$H$5:$H$1004,Trips!$B$5:$B$1004,$A56,Trips!$L$5:$L$1004,$B$3)+SUMIFS(Trips!$I$5:$I$1004,Trips!$B$5:$B$1004,$A56,Trips!$L$5:$L$1004,$B$3))</f>
        <v/>
      </c>
      <c r="G56" s="45" t="str">
        <f aca="false">IF($A56="","",SUMIFS(Trips!$J$5:$J$1004,Trips!$B$5:$B$1004,$A56,Trips!$L$5:$L$1004,$B$3)+SUMIFS(Expenses!$E$5:$E$1004,Expenses!$B$5:$B$1004,$A56,Expenses!$G$5:$G$1004,$B$3))</f>
        <v/>
      </c>
      <c r="H56" s="45" t="str">
        <f aca="false">IF($A56="","",Fleet!$O$55*C56)</f>
        <v/>
      </c>
      <c r="I56" s="45" t="str">
        <f aca="false">IF($A56="","",F56-G56-H56)</f>
        <v/>
      </c>
      <c r="J56" s="45" t="str">
        <f aca="false">IF($A56="","",(SUMIFS(Trips!$H$5:$H$1004,Trips!$B$5:$B$1004,$A56,Trips!$L$5:$L$1004,EDATE($B$3,-1))+SUMIFS(Trips!$I$5:$I$1004,Trips!$B$5:$B$1004,$A56,Trips!$L$5:$L$1004,EDATE($B$3,-1))-SUMIFS(Trips!$J$5:$J$1004,Trips!$B$5:$B$1004,$A56,Trips!$L$5:$L$1004,EDATE($B$3,-1))-SUMIFS(Expenses!$E$5:$E$1004,Expenses!$B$5:$B$1004,$A56,Expenses!$G$5:$G$1004,EDATE($B$3,-1))-Fleet!$O$55*IF(AND(Fleet!$A$55&lt;&gt;"",N(Fleet!$E$55)&lt;=EOMONTH(EDATE($B$3,-1),0),OR(Fleet!$F$55="",N(Fleet!$F$55)&gt;=EDATE($B$3,-1))),1,0)))</f>
        <v/>
      </c>
      <c r="K56" s="45" t="str">
        <f aca="false">IF($A56="","",(SUMIFS(Trips!$H$5:$H$1004,Trips!$B$5:$B$1004,$A56,Trips!$L$5:$L$1004,EDATE($B$3,-2))+SUMIFS(Trips!$I$5:$I$1004,Trips!$B$5:$B$1004,$A56,Trips!$L$5:$L$1004,EDATE($B$3,-2))-SUMIFS(Trips!$J$5:$J$1004,Trips!$B$5:$B$1004,$A56,Trips!$L$5:$L$1004,EDATE($B$3,-2))-SUMIFS(Expenses!$E$5:$E$1004,Expenses!$B$5:$B$1004,$A56,Expenses!$G$5:$G$1004,EDATE($B$3,-2))-Fleet!$O$55*IF(AND(Fleet!$A$55&lt;&gt;"",N(Fleet!$E$55)&lt;=EOMONTH(EDATE($B$3,-2),0),OR(Fleet!$F$55="",N(Fleet!$F$55)&gt;=EDATE($B$3,-2))),1,0)))</f>
        <v/>
      </c>
      <c r="L56" s="45" t="str">
        <f aca="false">IF($A56="","",SUMIFS(Trips!$M$5:$M$1004,Trips!$B$5:$B$1004,$A56,Trips!$L$5:$L$1004,"&lt;="&amp;$B$3)-SUMIFS(Expenses!$E$5:$E$1004,Expenses!$B$5:$B$1004,$A56,Expenses!$G$5:$G$1004,"&lt;="&amp;$B$3)-Fleet!$O$55*IF(N(Fleet!$E$55)=0,0,MAX(0,(YEAR(IF(Fleet!$F$55="",EOMONTH($B$3,0),MIN(Fleet!$F$55,EOMONTH($B$3,0))))-YEAR(Fleet!$E$55))*12+MONTH(IF(Fleet!$F$55="",EOMONTH($B$3,0),MIN(Fleet!$F$55,EOMONTH($B$3,0))))-MONTH(Fleet!$E$55)+1)))</f>
        <v/>
      </c>
      <c r="M56" s="46" t="str">
        <f aca="false">IF($A56="","",Fleet!$H$55)</f>
        <v/>
      </c>
      <c r="N56" s="44" t="str">
        <f aca="false">IF(OR($A56="",N(M56)=0),"",L56/M56)</f>
        <v/>
      </c>
      <c r="O56" s="2" t="str">
        <f aca="false">IF(OR($A56="",N(C56)=0),"",IF(AND(I56&lt;0,J56&lt;0,K56&lt;0),"REVIEW: 3 losing months",IF(I56&lt;Assumptions!$B$9,"Below net target",IF(E56&lt;Assumptions!$B$8,"Low utilization","On track"))))</f>
        <v/>
      </c>
    </row>
    <row r="57" customFormat="false" ht="15" hidden="false" customHeight="false" outlineLevel="0" collapsed="false">
      <c r="A57" s="41" t="str">
        <f aca="false">IF(Fleet!A56="","",Fleet!A56)</f>
        <v/>
      </c>
      <c r="B57" s="41" t="str">
        <f aca="false">IF(Fleet!A56="","",Fleet!B56&amp;" "&amp;Fleet!C56)</f>
        <v/>
      </c>
      <c r="C57" s="42" t="str">
        <f aca="false">IF($A57="","",IF(AND(Fleet!$A$56&lt;&gt;"",N(Fleet!$E$56)&lt;=EOMONTH($B$3,0),OR(Fleet!$F$56="",N(Fleet!$F$56)&gt;=$B$3)),1,0))</f>
        <v/>
      </c>
      <c r="D57" s="43" t="str">
        <f aca="false">IF($A57="","",SUMIFS(Trips!$E$5:$E$1004,Trips!$B$5:$B$1004,$A57,Trips!$L$5:$L$1004,$B$3))</f>
        <v/>
      </c>
      <c r="E57" s="44" t="str">
        <f aca="false">IF(OR($A57="",N(C57)=0),"",D57/DAY(EOMONTH($B$3,0)))</f>
        <v/>
      </c>
      <c r="F57" s="45" t="str">
        <f aca="false">IF($A57="","",SUMIFS(Trips!$H$5:$H$1004,Trips!$B$5:$B$1004,$A57,Trips!$L$5:$L$1004,$B$3)+SUMIFS(Trips!$I$5:$I$1004,Trips!$B$5:$B$1004,$A57,Trips!$L$5:$L$1004,$B$3))</f>
        <v/>
      </c>
      <c r="G57" s="45" t="str">
        <f aca="false">IF($A57="","",SUMIFS(Trips!$J$5:$J$1004,Trips!$B$5:$B$1004,$A57,Trips!$L$5:$L$1004,$B$3)+SUMIFS(Expenses!$E$5:$E$1004,Expenses!$B$5:$B$1004,$A57,Expenses!$G$5:$G$1004,$B$3))</f>
        <v/>
      </c>
      <c r="H57" s="45" t="str">
        <f aca="false">IF($A57="","",Fleet!$O$56*C57)</f>
        <v/>
      </c>
      <c r="I57" s="45" t="str">
        <f aca="false">IF($A57="","",F57-G57-H57)</f>
        <v/>
      </c>
      <c r="J57" s="45" t="str">
        <f aca="false">IF($A57="","",(SUMIFS(Trips!$H$5:$H$1004,Trips!$B$5:$B$1004,$A57,Trips!$L$5:$L$1004,EDATE($B$3,-1))+SUMIFS(Trips!$I$5:$I$1004,Trips!$B$5:$B$1004,$A57,Trips!$L$5:$L$1004,EDATE($B$3,-1))-SUMIFS(Trips!$J$5:$J$1004,Trips!$B$5:$B$1004,$A57,Trips!$L$5:$L$1004,EDATE($B$3,-1))-SUMIFS(Expenses!$E$5:$E$1004,Expenses!$B$5:$B$1004,$A57,Expenses!$G$5:$G$1004,EDATE($B$3,-1))-Fleet!$O$56*IF(AND(Fleet!$A$56&lt;&gt;"",N(Fleet!$E$56)&lt;=EOMONTH(EDATE($B$3,-1),0),OR(Fleet!$F$56="",N(Fleet!$F$56)&gt;=EDATE($B$3,-1))),1,0)))</f>
        <v/>
      </c>
      <c r="K57" s="45" t="str">
        <f aca="false">IF($A57="","",(SUMIFS(Trips!$H$5:$H$1004,Trips!$B$5:$B$1004,$A57,Trips!$L$5:$L$1004,EDATE($B$3,-2))+SUMIFS(Trips!$I$5:$I$1004,Trips!$B$5:$B$1004,$A57,Trips!$L$5:$L$1004,EDATE($B$3,-2))-SUMIFS(Trips!$J$5:$J$1004,Trips!$B$5:$B$1004,$A57,Trips!$L$5:$L$1004,EDATE($B$3,-2))-SUMIFS(Expenses!$E$5:$E$1004,Expenses!$B$5:$B$1004,$A57,Expenses!$G$5:$G$1004,EDATE($B$3,-2))-Fleet!$O$56*IF(AND(Fleet!$A$56&lt;&gt;"",N(Fleet!$E$56)&lt;=EOMONTH(EDATE($B$3,-2),0),OR(Fleet!$F$56="",N(Fleet!$F$56)&gt;=EDATE($B$3,-2))),1,0)))</f>
        <v/>
      </c>
      <c r="L57" s="45" t="str">
        <f aca="false">IF($A57="","",SUMIFS(Trips!$M$5:$M$1004,Trips!$B$5:$B$1004,$A57,Trips!$L$5:$L$1004,"&lt;="&amp;$B$3)-SUMIFS(Expenses!$E$5:$E$1004,Expenses!$B$5:$B$1004,$A57,Expenses!$G$5:$G$1004,"&lt;="&amp;$B$3)-Fleet!$O$56*IF(N(Fleet!$E$56)=0,0,MAX(0,(YEAR(IF(Fleet!$F$56="",EOMONTH($B$3,0),MIN(Fleet!$F$56,EOMONTH($B$3,0))))-YEAR(Fleet!$E$56))*12+MONTH(IF(Fleet!$F$56="",EOMONTH($B$3,0),MIN(Fleet!$F$56,EOMONTH($B$3,0))))-MONTH(Fleet!$E$56)+1)))</f>
        <v/>
      </c>
      <c r="M57" s="46" t="str">
        <f aca="false">IF($A57="","",Fleet!$H$56)</f>
        <v/>
      </c>
      <c r="N57" s="44" t="str">
        <f aca="false">IF(OR($A57="",N(M57)=0),"",L57/M57)</f>
        <v/>
      </c>
      <c r="O57" s="2" t="str">
        <f aca="false">IF(OR($A57="",N(C57)=0),"",IF(AND(I57&lt;0,J57&lt;0,K57&lt;0),"REVIEW: 3 losing months",IF(I57&lt;Assumptions!$B$9,"Below net target",IF(E57&lt;Assumptions!$B$8,"Low utilization","On track"))))</f>
        <v/>
      </c>
    </row>
    <row r="58" customFormat="false" ht="15" hidden="false" customHeight="false" outlineLevel="0" collapsed="false">
      <c r="A58" s="41" t="str">
        <f aca="false">IF(Fleet!A57="","",Fleet!A57)</f>
        <v/>
      </c>
      <c r="B58" s="41" t="str">
        <f aca="false">IF(Fleet!A57="","",Fleet!B57&amp;" "&amp;Fleet!C57)</f>
        <v/>
      </c>
      <c r="C58" s="42" t="str">
        <f aca="false">IF($A58="","",IF(AND(Fleet!$A$57&lt;&gt;"",N(Fleet!$E$57)&lt;=EOMONTH($B$3,0),OR(Fleet!$F$57="",N(Fleet!$F$57)&gt;=$B$3)),1,0))</f>
        <v/>
      </c>
      <c r="D58" s="43" t="str">
        <f aca="false">IF($A58="","",SUMIFS(Trips!$E$5:$E$1004,Trips!$B$5:$B$1004,$A58,Trips!$L$5:$L$1004,$B$3))</f>
        <v/>
      </c>
      <c r="E58" s="44" t="str">
        <f aca="false">IF(OR($A58="",N(C58)=0),"",D58/DAY(EOMONTH($B$3,0)))</f>
        <v/>
      </c>
      <c r="F58" s="45" t="str">
        <f aca="false">IF($A58="","",SUMIFS(Trips!$H$5:$H$1004,Trips!$B$5:$B$1004,$A58,Trips!$L$5:$L$1004,$B$3)+SUMIFS(Trips!$I$5:$I$1004,Trips!$B$5:$B$1004,$A58,Trips!$L$5:$L$1004,$B$3))</f>
        <v/>
      </c>
      <c r="G58" s="45" t="str">
        <f aca="false">IF($A58="","",SUMIFS(Trips!$J$5:$J$1004,Trips!$B$5:$B$1004,$A58,Trips!$L$5:$L$1004,$B$3)+SUMIFS(Expenses!$E$5:$E$1004,Expenses!$B$5:$B$1004,$A58,Expenses!$G$5:$G$1004,$B$3))</f>
        <v/>
      </c>
      <c r="H58" s="45" t="str">
        <f aca="false">IF($A58="","",Fleet!$O$57*C58)</f>
        <v/>
      </c>
      <c r="I58" s="45" t="str">
        <f aca="false">IF($A58="","",F58-G58-H58)</f>
        <v/>
      </c>
      <c r="J58" s="45" t="str">
        <f aca="false">IF($A58="","",(SUMIFS(Trips!$H$5:$H$1004,Trips!$B$5:$B$1004,$A58,Trips!$L$5:$L$1004,EDATE($B$3,-1))+SUMIFS(Trips!$I$5:$I$1004,Trips!$B$5:$B$1004,$A58,Trips!$L$5:$L$1004,EDATE($B$3,-1))-SUMIFS(Trips!$J$5:$J$1004,Trips!$B$5:$B$1004,$A58,Trips!$L$5:$L$1004,EDATE($B$3,-1))-SUMIFS(Expenses!$E$5:$E$1004,Expenses!$B$5:$B$1004,$A58,Expenses!$G$5:$G$1004,EDATE($B$3,-1))-Fleet!$O$57*IF(AND(Fleet!$A$57&lt;&gt;"",N(Fleet!$E$57)&lt;=EOMONTH(EDATE($B$3,-1),0),OR(Fleet!$F$57="",N(Fleet!$F$57)&gt;=EDATE($B$3,-1))),1,0)))</f>
        <v/>
      </c>
      <c r="K58" s="45" t="str">
        <f aca="false">IF($A58="","",(SUMIFS(Trips!$H$5:$H$1004,Trips!$B$5:$B$1004,$A58,Trips!$L$5:$L$1004,EDATE($B$3,-2))+SUMIFS(Trips!$I$5:$I$1004,Trips!$B$5:$B$1004,$A58,Trips!$L$5:$L$1004,EDATE($B$3,-2))-SUMIFS(Trips!$J$5:$J$1004,Trips!$B$5:$B$1004,$A58,Trips!$L$5:$L$1004,EDATE($B$3,-2))-SUMIFS(Expenses!$E$5:$E$1004,Expenses!$B$5:$B$1004,$A58,Expenses!$G$5:$G$1004,EDATE($B$3,-2))-Fleet!$O$57*IF(AND(Fleet!$A$57&lt;&gt;"",N(Fleet!$E$57)&lt;=EOMONTH(EDATE($B$3,-2),0),OR(Fleet!$F$57="",N(Fleet!$F$57)&gt;=EDATE($B$3,-2))),1,0)))</f>
        <v/>
      </c>
      <c r="L58" s="45" t="str">
        <f aca="false">IF($A58="","",SUMIFS(Trips!$M$5:$M$1004,Trips!$B$5:$B$1004,$A58,Trips!$L$5:$L$1004,"&lt;="&amp;$B$3)-SUMIFS(Expenses!$E$5:$E$1004,Expenses!$B$5:$B$1004,$A58,Expenses!$G$5:$G$1004,"&lt;="&amp;$B$3)-Fleet!$O$57*IF(N(Fleet!$E$57)=0,0,MAX(0,(YEAR(IF(Fleet!$F$57="",EOMONTH($B$3,0),MIN(Fleet!$F$57,EOMONTH($B$3,0))))-YEAR(Fleet!$E$57))*12+MONTH(IF(Fleet!$F$57="",EOMONTH($B$3,0),MIN(Fleet!$F$57,EOMONTH($B$3,0))))-MONTH(Fleet!$E$57)+1)))</f>
        <v/>
      </c>
      <c r="M58" s="46" t="str">
        <f aca="false">IF($A58="","",Fleet!$H$57)</f>
        <v/>
      </c>
      <c r="N58" s="44" t="str">
        <f aca="false">IF(OR($A58="",N(M58)=0),"",L58/M58)</f>
        <v/>
      </c>
      <c r="O58" s="2" t="str">
        <f aca="false">IF(OR($A58="",N(C58)=0),"",IF(AND(I58&lt;0,J58&lt;0,K58&lt;0),"REVIEW: 3 losing months",IF(I58&lt;Assumptions!$B$9,"Below net target",IF(E58&lt;Assumptions!$B$8,"Low utilization","On track"))))</f>
        <v/>
      </c>
    </row>
    <row r="59" customFormat="false" ht="15" hidden="false" customHeight="false" outlineLevel="0" collapsed="false">
      <c r="A59" s="41" t="str">
        <f aca="false">IF(Fleet!A58="","",Fleet!A58)</f>
        <v/>
      </c>
      <c r="B59" s="41" t="str">
        <f aca="false">IF(Fleet!A58="","",Fleet!B58&amp;" "&amp;Fleet!C58)</f>
        <v/>
      </c>
      <c r="C59" s="42" t="str">
        <f aca="false">IF($A59="","",IF(AND(Fleet!$A$58&lt;&gt;"",N(Fleet!$E$58)&lt;=EOMONTH($B$3,0),OR(Fleet!$F$58="",N(Fleet!$F$58)&gt;=$B$3)),1,0))</f>
        <v/>
      </c>
      <c r="D59" s="43" t="str">
        <f aca="false">IF($A59="","",SUMIFS(Trips!$E$5:$E$1004,Trips!$B$5:$B$1004,$A59,Trips!$L$5:$L$1004,$B$3))</f>
        <v/>
      </c>
      <c r="E59" s="44" t="str">
        <f aca="false">IF(OR($A59="",N(C59)=0),"",D59/DAY(EOMONTH($B$3,0)))</f>
        <v/>
      </c>
      <c r="F59" s="45" t="str">
        <f aca="false">IF($A59="","",SUMIFS(Trips!$H$5:$H$1004,Trips!$B$5:$B$1004,$A59,Trips!$L$5:$L$1004,$B$3)+SUMIFS(Trips!$I$5:$I$1004,Trips!$B$5:$B$1004,$A59,Trips!$L$5:$L$1004,$B$3))</f>
        <v/>
      </c>
      <c r="G59" s="45" t="str">
        <f aca="false">IF($A59="","",SUMIFS(Trips!$J$5:$J$1004,Trips!$B$5:$B$1004,$A59,Trips!$L$5:$L$1004,$B$3)+SUMIFS(Expenses!$E$5:$E$1004,Expenses!$B$5:$B$1004,$A59,Expenses!$G$5:$G$1004,$B$3))</f>
        <v/>
      </c>
      <c r="H59" s="45" t="str">
        <f aca="false">IF($A59="","",Fleet!$O$58*C59)</f>
        <v/>
      </c>
      <c r="I59" s="45" t="str">
        <f aca="false">IF($A59="","",F59-G59-H59)</f>
        <v/>
      </c>
      <c r="J59" s="45" t="str">
        <f aca="false">IF($A59="","",(SUMIFS(Trips!$H$5:$H$1004,Trips!$B$5:$B$1004,$A59,Trips!$L$5:$L$1004,EDATE($B$3,-1))+SUMIFS(Trips!$I$5:$I$1004,Trips!$B$5:$B$1004,$A59,Trips!$L$5:$L$1004,EDATE($B$3,-1))-SUMIFS(Trips!$J$5:$J$1004,Trips!$B$5:$B$1004,$A59,Trips!$L$5:$L$1004,EDATE($B$3,-1))-SUMIFS(Expenses!$E$5:$E$1004,Expenses!$B$5:$B$1004,$A59,Expenses!$G$5:$G$1004,EDATE($B$3,-1))-Fleet!$O$58*IF(AND(Fleet!$A$58&lt;&gt;"",N(Fleet!$E$58)&lt;=EOMONTH(EDATE($B$3,-1),0),OR(Fleet!$F$58="",N(Fleet!$F$58)&gt;=EDATE($B$3,-1))),1,0)))</f>
        <v/>
      </c>
      <c r="K59" s="45" t="str">
        <f aca="false">IF($A59="","",(SUMIFS(Trips!$H$5:$H$1004,Trips!$B$5:$B$1004,$A59,Trips!$L$5:$L$1004,EDATE($B$3,-2))+SUMIFS(Trips!$I$5:$I$1004,Trips!$B$5:$B$1004,$A59,Trips!$L$5:$L$1004,EDATE($B$3,-2))-SUMIFS(Trips!$J$5:$J$1004,Trips!$B$5:$B$1004,$A59,Trips!$L$5:$L$1004,EDATE($B$3,-2))-SUMIFS(Expenses!$E$5:$E$1004,Expenses!$B$5:$B$1004,$A59,Expenses!$G$5:$G$1004,EDATE($B$3,-2))-Fleet!$O$58*IF(AND(Fleet!$A$58&lt;&gt;"",N(Fleet!$E$58)&lt;=EOMONTH(EDATE($B$3,-2),0),OR(Fleet!$F$58="",N(Fleet!$F$58)&gt;=EDATE($B$3,-2))),1,0)))</f>
        <v/>
      </c>
      <c r="L59" s="45" t="str">
        <f aca="false">IF($A59="","",SUMIFS(Trips!$M$5:$M$1004,Trips!$B$5:$B$1004,$A59,Trips!$L$5:$L$1004,"&lt;="&amp;$B$3)-SUMIFS(Expenses!$E$5:$E$1004,Expenses!$B$5:$B$1004,$A59,Expenses!$G$5:$G$1004,"&lt;="&amp;$B$3)-Fleet!$O$58*IF(N(Fleet!$E$58)=0,0,MAX(0,(YEAR(IF(Fleet!$F$58="",EOMONTH($B$3,0),MIN(Fleet!$F$58,EOMONTH($B$3,0))))-YEAR(Fleet!$E$58))*12+MONTH(IF(Fleet!$F$58="",EOMONTH($B$3,0),MIN(Fleet!$F$58,EOMONTH($B$3,0))))-MONTH(Fleet!$E$58)+1)))</f>
        <v/>
      </c>
      <c r="M59" s="46" t="str">
        <f aca="false">IF($A59="","",Fleet!$H$58)</f>
        <v/>
      </c>
      <c r="N59" s="44" t="str">
        <f aca="false">IF(OR($A59="",N(M59)=0),"",L59/M59)</f>
        <v/>
      </c>
      <c r="O59" s="2" t="str">
        <f aca="false">IF(OR($A59="",N(C59)=0),"",IF(AND(I59&lt;0,J59&lt;0,K59&lt;0),"REVIEW: 3 losing months",IF(I59&lt;Assumptions!$B$9,"Below net target",IF(E59&lt;Assumptions!$B$8,"Low utilization","On track"))))</f>
        <v/>
      </c>
    </row>
    <row r="60" customFormat="false" ht="15" hidden="false" customHeight="false" outlineLevel="0" collapsed="false">
      <c r="A60" s="41" t="str">
        <f aca="false">IF(Fleet!A59="","",Fleet!A59)</f>
        <v/>
      </c>
      <c r="B60" s="41" t="str">
        <f aca="false">IF(Fleet!A59="","",Fleet!B59&amp;" "&amp;Fleet!C59)</f>
        <v/>
      </c>
      <c r="C60" s="42" t="str">
        <f aca="false">IF($A60="","",IF(AND(Fleet!$A$59&lt;&gt;"",N(Fleet!$E$59)&lt;=EOMONTH($B$3,0),OR(Fleet!$F$59="",N(Fleet!$F$59)&gt;=$B$3)),1,0))</f>
        <v/>
      </c>
      <c r="D60" s="43" t="str">
        <f aca="false">IF($A60="","",SUMIFS(Trips!$E$5:$E$1004,Trips!$B$5:$B$1004,$A60,Trips!$L$5:$L$1004,$B$3))</f>
        <v/>
      </c>
      <c r="E60" s="44" t="str">
        <f aca="false">IF(OR($A60="",N(C60)=0),"",D60/DAY(EOMONTH($B$3,0)))</f>
        <v/>
      </c>
      <c r="F60" s="45" t="str">
        <f aca="false">IF($A60="","",SUMIFS(Trips!$H$5:$H$1004,Trips!$B$5:$B$1004,$A60,Trips!$L$5:$L$1004,$B$3)+SUMIFS(Trips!$I$5:$I$1004,Trips!$B$5:$B$1004,$A60,Trips!$L$5:$L$1004,$B$3))</f>
        <v/>
      </c>
      <c r="G60" s="45" t="str">
        <f aca="false">IF($A60="","",SUMIFS(Trips!$J$5:$J$1004,Trips!$B$5:$B$1004,$A60,Trips!$L$5:$L$1004,$B$3)+SUMIFS(Expenses!$E$5:$E$1004,Expenses!$B$5:$B$1004,$A60,Expenses!$G$5:$G$1004,$B$3))</f>
        <v/>
      </c>
      <c r="H60" s="45" t="str">
        <f aca="false">IF($A60="","",Fleet!$O$59*C60)</f>
        <v/>
      </c>
      <c r="I60" s="45" t="str">
        <f aca="false">IF($A60="","",F60-G60-H60)</f>
        <v/>
      </c>
      <c r="J60" s="45" t="str">
        <f aca="false">IF($A60="","",(SUMIFS(Trips!$H$5:$H$1004,Trips!$B$5:$B$1004,$A60,Trips!$L$5:$L$1004,EDATE($B$3,-1))+SUMIFS(Trips!$I$5:$I$1004,Trips!$B$5:$B$1004,$A60,Trips!$L$5:$L$1004,EDATE($B$3,-1))-SUMIFS(Trips!$J$5:$J$1004,Trips!$B$5:$B$1004,$A60,Trips!$L$5:$L$1004,EDATE($B$3,-1))-SUMIFS(Expenses!$E$5:$E$1004,Expenses!$B$5:$B$1004,$A60,Expenses!$G$5:$G$1004,EDATE($B$3,-1))-Fleet!$O$59*IF(AND(Fleet!$A$59&lt;&gt;"",N(Fleet!$E$59)&lt;=EOMONTH(EDATE($B$3,-1),0),OR(Fleet!$F$59="",N(Fleet!$F$59)&gt;=EDATE($B$3,-1))),1,0)))</f>
        <v/>
      </c>
      <c r="K60" s="45" t="str">
        <f aca="false">IF($A60="","",(SUMIFS(Trips!$H$5:$H$1004,Trips!$B$5:$B$1004,$A60,Trips!$L$5:$L$1004,EDATE($B$3,-2))+SUMIFS(Trips!$I$5:$I$1004,Trips!$B$5:$B$1004,$A60,Trips!$L$5:$L$1004,EDATE($B$3,-2))-SUMIFS(Trips!$J$5:$J$1004,Trips!$B$5:$B$1004,$A60,Trips!$L$5:$L$1004,EDATE($B$3,-2))-SUMIFS(Expenses!$E$5:$E$1004,Expenses!$B$5:$B$1004,$A60,Expenses!$G$5:$G$1004,EDATE($B$3,-2))-Fleet!$O$59*IF(AND(Fleet!$A$59&lt;&gt;"",N(Fleet!$E$59)&lt;=EOMONTH(EDATE($B$3,-2),0),OR(Fleet!$F$59="",N(Fleet!$F$59)&gt;=EDATE($B$3,-2))),1,0)))</f>
        <v/>
      </c>
      <c r="L60" s="45" t="str">
        <f aca="false">IF($A60="","",SUMIFS(Trips!$M$5:$M$1004,Trips!$B$5:$B$1004,$A60,Trips!$L$5:$L$1004,"&lt;="&amp;$B$3)-SUMIFS(Expenses!$E$5:$E$1004,Expenses!$B$5:$B$1004,$A60,Expenses!$G$5:$G$1004,"&lt;="&amp;$B$3)-Fleet!$O$59*IF(N(Fleet!$E$59)=0,0,MAX(0,(YEAR(IF(Fleet!$F$59="",EOMONTH($B$3,0),MIN(Fleet!$F$59,EOMONTH($B$3,0))))-YEAR(Fleet!$E$59))*12+MONTH(IF(Fleet!$F$59="",EOMONTH($B$3,0),MIN(Fleet!$F$59,EOMONTH($B$3,0))))-MONTH(Fleet!$E$59)+1)))</f>
        <v/>
      </c>
      <c r="M60" s="46" t="str">
        <f aca="false">IF($A60="","",Fleet!$H$59)</f>
        <v/>
      </c>
      <c r="N60" s="44" t="str">
        <f aca="false">IF(OR($A60="",N(M60)=0),"",L60/M60)</f>
        <v/>
      </c>
      <c r="O60" s="2" t="str">
        <f aca="false">IF(OR($A60="",N(C60)=0),"",IF(AND(I60&lt;0,J60&lt;0,K60&lt;0),"REVIEW: 3 losing months",IF(I60&lt;Assumptions!$B$9,"Below net target",IF(E60&lt;Assumptions!$B$8,"Low utilization","On track"))))</f>
        <v/>
      </c>
    </row>
    <row r="61" customFormat="false" ht="15" hidden="false" customHeight="false" outlineLevel="0" collapsed="false">
      <c r="A61" s="41" t="str">
        <f aca="false">IF(Fleet!A60="","",Fleet!A60)</f>
        <v/>
      </c>
      <c r="B61" s="41" t="str">
        <f aca="false">IF(Fleet!A60="","",Fleet!B60&amp;" "&amp;Fleet!C60)</f>
        <v/>
      </c>
      <c r="C61" s="42" t="str">
        <f aca="false">IF($A61="","",IF(AND(Fleet!$A$60&lt;&gt;"",N(Fleet!$E$60)&lt;=EOMONTH($B$3,0),OR(Fleet!$F$60="",N(Fleet!$F$60)&gt;=$B$3)),1,0))</f>
        <v/>
      </c>
      <c r="D61" s="43" t="str">
        <f aca="false">IF($A61="","",SUMIFS(Trips!$E$5:$E$1004,Trips!$B$5:$B$1004,$A61,Trips!$L$5:$L$1004,$B$3))</f>
        <v/>
      </c>
      <c r="E61" s="44" t="str">
        <f aca="false">IF(OR($A61="",N(C61)=0),"",D61/DAY(EOMONTH($B$3,0)))</f>
        <v/>
      </c>
      <c r="F61" s="45" t="str">
        <f aca="false">IF($A61="","",SUMIFS(Trips!$H$5:$H$1004,Trips!$B$5:$B$1004,$A61,Trips!$L$5:$L$1004,$B$3)+SUMIFS(Trips!$I$5:$I$1004,Trips!$B$5:$B$1004,$A61,Trips!$L$5:$L$1004,$B$3))</f>
        <v/>
      </c>
      <c r="G61" s="45" t="str">
        <f aca="false">IF($A61="","",SUMIFS(Trips!$J$5:$J$1004,Trips!$B$5:$B$1004,$A61,Trips!$L$5:$L$1004,$B$3)+SUMIFS(Expenses!$E$5:$E$1004,Expenses!$B$5:$B$1004,$A61,Expenses!$G$5:$G$1004,$B$3))</f>
        <v/>
      </c>
      <c r="H61" s="45" t="str">
        <f aca="false">IF($A61="","",Fleet!$O$60*C61)</f>
        <v/>
      </c>
      <c r="I61" s="45" t="str">
        <f aca="false">IF($A61="","",F61-G61-H61)</f>
        <v/>
      </c>
      <c r="J61" s="45" t="str">
        <f aca="false">IF($A61="","",(SUMIFS(Trips!$H$5:$H$1004,Trips!$B$5:$B$1004,$A61,Trips!$L$5:$L$1004,EDATE($B$3,-1))+SUMIFS(Trips!$I$5:$I$1004,Trips!$B$5:$B$1004,$A61,Trips!$L$5:$L$1004,EDATE($B$3,-1))-SUMIFS(Trips!$J$5:$J$1004,Trips!$B$5:$B$1004,$A61,Trips!$L$5:$L$1004,EDATE($B$3,-1))-SUMIFS(Expenses!$E$5:$E$1004,Expenses!$B$5:$B$1004,$A61,Expenses!$G$5:$G$1004,EDATE($B$3,-1))-Fleet!$O$60*IF(AND(Fleet!$A$60&lt;&gt;"",N(Fleet!$E$60)&lt;=EOMONTH(EDATE($B$3,-1),0),OR(Fleet!$F$60="",N(Fleet!$F$60)&gt;=EDATE($B$3,-1))),1,0)))</f>
        <v/>
      </c>
      <c r="K61" s="45" t="str">
        <f aca="false">IF($A61="","",(SUMIFS(Trips!$H$5:$H$1004,Trips!$B$5:$B$1004,$A61,Trips!$L$5:$L$1004,EDATE($B$3,-2))+SUMIFS(Trips!$I$5:$I$1004,Trips!$B$5:$B$1004,$A61,Trips!$L$5:$L$1004,EDATE($B$3,-2))-SUMIFS(Trips!$J$5:$J$1004,Trips!$B$5:$B$1004,$A61,Trips!$L$5:$L$1004,EDATE($B$3,-2))-SUMIFS(Expenses!$E$5:$E$1004,Expenses!$B$5:$B$1004,$A61,Expenses!$G$5:$G$1004,EDATE($B$3,-2))-Fleet!$O$60*IF(AND(Fleet!$A$60&lt;&gt;"",N(Fleet!$E$60)&lt;=EOMONTH(EDATE($B$3,-2),0),OR(Fleet!$F$60="",N(Fleet!$F$60)&gt;=EDATE($B$3,-2))),1,0)))</f>
        <v/>
      </c>
      <c r="L61" s="45" t="str">
        <f aca="false">IF($A61="","",SUMIFS(Trips!$M$5:$M$1004,Trips!$B$5:$B$1004,$A61,Trips!$L$5:$L$1004,"&lt;="&amp;$B$3)-SUMIFS(Expenses!$E$5:$E$1004,Expenses!$B$5:$B$1004,$A61,Expenses!$G$5:$G$1004,"&lt;="&amp;$B$3)-Fleet!$O$60*IF(N(Fleet!$E$60)=0,0,MAX(0,(YEAR(IF(Fleet!$F$60="",EOMONTH($B$3,0),MIN(Fleet!$F$60,EOMONTH($B$3,0))))-YEAR(Fleet!$E$60))*12+MONTH(IF(Fleet!$F$60="",EOMONTH($B$3,0),MIN(Fleet!$F$60,EOMONTH($B$3,0))))-MONTH(Fleet!$E$60)+1)))</f>
        <v/>
      </c>
      <c r="M61" s="46" t="str">
        <f aca="false">IF($A61="","",Fleet!$H$60)</f>
        <v/>
      </c>
      <c r="N61" s="44" t="str">
        <f aca="false">IF(OR($A61="",N(M61)=0),"",L61/M61)</f>
        <v/>
      </c>
      <c r="O61" s="2" t="str">
        <f aca="false">IF(OR($A61="",N(C61)=0),"",IF(AND(I61&lt;0,J61&lt;0,K61&lt;0),"REVIEW: 3 losing months",IF(I61&lt;Assumptions!$B$9,"Below net target",IF(E61&lt;Assumptions!$B$8,"Low utilization","On track"))))</f>
        <v/>
      </c>
    </row>
    <row r="62" customFormat="false" ht="15" hidden="false" customHeight="false" outlineLevel="0" collapsed="false">
      <c r="A62" s="41" t="str">
        <f aca="false">IF(Fleet!A61="","",Fleet!A61)</f>
        <v/>
      </c>
      <c r="B62" s="41" t="str">
        <f aca="false">IF(Fleet!A61="","",Fleet!B61&amp;" "&amp;Fleet!C61)</f>
        <v/>
      </c>
      <c r="C62" s="42" t="str">
        <f aca="false">IF($A62="","",IF(AND(Fleet!$A$61&lt;&gt;"",N(Fleet!$E$61)&lt;=EOMONTH($B$3,0),OR(Fleet!$F$61="",N(Fleet!$F$61)&gt;=$B$3)),1,0))</f>
        <v/>
      </c>
      <c r="D62" s="43" t="str">
        <f aca="false">IF($A62="","",SUMIFS(Trips!$E$5:$E$1004,Trips!$B$5:$B$1004,$A62,Trips!$L$5:$L$1004,$B$3))</f>
        <v/>
      </c>
      <c r="E62" s="44" t="str">
        <f aca="false">IF(OR($A62="",N(C62)=0),"",D62/DAY(EOMONTH($B$3,0)))</f>
        <v/>
      </c>
      <c r="F62" s="45" t="str">
        <f aca="false">IF($A62="","",SUMIFS(Trips!$H$5:$H$1004,Trips!$B$5:$B$1004,$A62,Trips!$L$5:$L$1004,$B$3)+SUMIFS(Trips!$I$5:$I$1004,Trips!$B$5:$B$1004,$A62,Trips!$L$5:$L$1004,$B$3))</f>
        <v/>
      </c>
      <c r="G62" s="45" t="str">
        <f aca="false">IF($A62="","",SUMIFS(Trips!$J$5:$J$1004,Trips!$B$5:$B$1004,$A62,Trips!$L$5:$L$1004,$B$3)+SUMIFS(Expenses!$E$5:$E$1004,Expenses!$B$5:$B$1004,$A62,Expenses!$G$5:$G$1004,$B$3))</f>
        <v/>
      </c>
      <c r="H62" s="45" t="str">
        <f aca="false">IF($A62="","",Fleet!$O$61*C62)</f>
        <v/>
      </c>
      <c r="I62" s="45" t="str">
        <f aca="false">IF($A62="","",F62-G62-H62)</f>
        <v/>
      </c>
      <c r="J62" s="45" t="str">
        <f aca="false">IF($A62="","",(SUMIFS(Trips!$H$5:$H$1004,Trips!$B$5:$B$1004,$A62,Trips!$L$5:$L$1004,EDATE($B$3,-1))+SUMIFS(Trips!$I$5:$I$1004,Trips!$B$5:$B$1004,$A62,Trips!$L$5:$L$1004,EDATE($B$3,-1))-SUMIFS(Trips!$J$5:$J$1004,Trips!$B$5:$B$1004,$A62,Trips!$L$5:$L$1004,EDATE($B$3,-1))-SUMIFS(Expenses!$E$5:$E$1004,Expenses!$B$5:$B$1004,$A62,Expenses!$G$5:$G$1004,EDATE($B$3,-1))-Fleet!$O$61*IF(AND(Fleet!$A$61&lt;&gt;"",N(Fleet!$E$61)&lt;=EOMONTH(EDATE($B$3,-1),0),OR(Fleet!$F$61="",N(Fleet!$F$61)&gt;=EDATE($B$3,-1))),1,0)))</f>
        <v/>
      </c>
      <c r="K62" s="45" t="str">
        <f aca="false">IF($A62="","",(SUMIFS(Trips!$H$5:$H$1004,Trips!$B$5:$B$1004,$A62,Trips!$L$5:$L$1004,EDATE($B$3,-2))+SUMIFS(Trips!$I$5:$I$1004,Trips!$B$5:$B$1004,$A62,Trips!$L$5:$L$1004,EDATE($B$3,-2))-SUMIFS(Trips!$J$5:$J$1004,Trips!$B$5:$B$1004,$A62,Trips!$L$5:$L$1004,EDATE($B$3,-2))-SUMIFS(Expenses!$E$5:$E$1004,Expenses!$B$5:$B$1004,$A62,Expenses!$G$5:$G$1004,EDATE($B$3,-2))-Fleet!$O$61*IF(AND(Fleet!$A$61&lt;&gt;"",N(Fleet!$E$61)&lt;=EOMONTH(EDATE($B$3,-2),0),OR(Fleet!$F$61="",N(Fleet!$F$61)&gt;=EDATE($B$3,-2))),1,0)))</f>
        <v/>
      </c>
      <c r="L62" s="45" t="str">
        <f aca="false">IF($A62="","",SUMIFS(Trips!$M$5:$M$1004,Trips!$B$5:$B$1004,$A62,Trips!$L$5:$L$1004,"&lt;="&amp;$B$3)-SUMIFS(Expenses!$E$5:$E$1004,Expenses!$B$5:$B$1004,$A62,Expenses!$G$5:$G$1004,"&lt;="&amp;$B$3)-Fleet!$O$61*IF(N(Fleet!$E$61)=0,0,MAX(0,(YEAR(IF(Fleet!$F$61="",EOMONTH($B$3,0),MIN(Fleet!$F$61,EOMONTH($B$3,0))))-YEAR(Fleet!$E$61))*12+MONTH(IF(Fleet!$F$61="",EOMONTH($B$3,0),MIN(Fleet!$F$61,EOMONTH($B$3,0))))-MONTH(Fleet!$E$61)+1)))</f>
        <v/>
      </c>
      <c r="M62" s="46" t="str">
        <f aca="false">IF($A62="","",Fleet!$H$61)</f>
        <v/>
      </c>
      <c r="N62" s="44" t="str">
        <f aca="false">IF(OR($A62="",N(M62)=0),"",L62/M62)</f>
        <v/>
      </c>
      <c r="O62" s="2" t="str">
        <f aca="false">IF(OR($A62="",N(C62)=0),"",IF(AND(I62&lt;0,J62&lt;0,K62&lt;0),"REVIEW: 3 losing months",IF(I62&lt;Assumptions!$B$9,"Below net target",IF(E62&lt;Assumptions!$B$8,"Low utilization","On track"))))</f>
        <v/>
      </c>
    </row>
    <row r="63" customFormat="false" ht="15" hidden="false" customHeight="false" outlineLevel="0" collapsed="false">
      <c r="A63" s="41" t="str">
        <f aca="false">IF(Fleet!A62="","",Fleet!A62)</f>
        <v/>
      </c>
      <c r="B63" s="41" t="str">
        <f aca="false">IF(Fleet!A62="","",Fleet!B62&amp;" "&amp;Fleet!C62)</f>
        <v/>
      </c>
      <c r="C63" s="42" t="str">
        <f aca="false">IF($A63="","",IF(AND(Fleet!$A$62&lt;&gt;"",N(Fleet!$E$62)&lt;=EOMONTH($B$3,0),OR(Fleet!$F$62="",N(Fleet!$F$62)&gt;=$B$3)),1,0))</f>
        <v/>
      </c>
      <c r="D63" s="43" t="str">
        <f aca="false">IF($A63="","",SUMIFS(Trips!$E$5:$E$1004,Trips!$B$5:$B$1004,$A63,Trips!$L$5:$L$1004,$B$3))</f>
        <v/>
      </c>
      <c r="E63" s="44" t="str">
        <f aca="false">IF(OR($A63="",N(C63)=0),"",D63/DAY(EOMONTH($B$3,0)))</f>
        <v/>
      </c>
      <c r="F63" s="45" t="str">
        <f aca="false">IF($A63="","",SUMIFS(Trips!$H$5:$H$1004,Trips!$B$5:$B$1004,$A63,Trips!$L$5:$L$1004,$B$3)+SUMIFS(Trips!$I$5:$I$1004,Trips!$B$5:$B$1004,$A63,Trips!$L$5:$L$1004,$B$3))</f>
        <v/>
      </c>
      <c r="G63" s="45" t="str">
        <f aca="false">IF($A63="","",SUMIFS(Trips!$J$5:$J$1004,Trips!$B$5:$B$1004,$A63,Trips!$L$5:$L$1004,$B$3)+SUMIFS(Expenses!$E$5:$E$1004,Expenses!$B$5:$B$1004,$A63,Expenses!$G$5:$G$1004,$B$3))</f>
        <v/>
      </c>
      <c r="H63" s="45" t="str">
        <f aca="false">IF($A63="","",Fleet!$O$62*C63)</f>
        <v/>
      </c>
      <c r="I63" s="45" t="str">
        <f aca="false">IF($A63="","",F63-G63-H63)</f>
        <v/>
      </c>
      <c r="J63" s="45" t="str">
        <f aca="false">IF($A63="","",(SUMIFS(Trips!$H$5:$H$1004,Trips!$B$5:$B$1004,$A63,Trips!$L$5:$L$1004,EDATE($B$3,-1))+SUMIFS(Trips!$I$5:$I$1004,Trips!$B$5:$B$1004,$A63,Trips!$L$5:$L$1004,EDATE($B$3,-1))-SUMIFS(Trips!$J$5:$J$1004,Trips!$B$5:$B$1004,$A63,Trips!$L$5:$L$1004,EDATE($B$3,-1))-SUMIFS(Expenses!$E$5:$E$1004,Expenses!$B$5:$B$1004,$A63,Expenses!$G$5:$G$1004,EDATE($B$3,-1))-Fleet!$O$62*IF(AND(Fleet!$A$62&lt;&gt;"",N(Fleet!$E$62)&lt;=EOMONTH(EDATE($B$3,-1),0),OR(Fleet!$F$62="",N(Fleet!$F$62)&gt;=EDATE($B$3,-1))),1,0)))</f>
        <v/>
      </c>
      <c r="K63" s="45" t="str">
        <f aca="false">IF($A63="","",(SUMIFS(Trips!$H$5:$H$1004,Trips!$B$5:$B$1004,$A63,Trips!$L$5:$L$1004,EDATE($B$3,-2))+SUMIFS(Trips!$I$5:$I$1004,Trips!$B$5:$B$1004,$A63,Trips!$L$5:$L$1004,EDATE($B$3,-2))-SUMIFS(Trips!$J$5:$J$1004,Trips!$B$5:$B$1004,$A63,Trips!$L$5:$L$1004,EDATE($B$3,-2))-SUMIFS(Expenses!$E$5:$E$1004,Expenses!$B$5:$B$1004,$A63,Expenses!$G$5:$G$1004,EDATE($B$3,-2))-Fleet!$O$62*IF(AND(Fleet!$A$62&lt;&gt;"",N(Fleet!$E$62)&lt;=EOMONTH(EDATE($B$3,-2),0),OR(Fleet!$F$62="",N(Fleet!$F$62)&gt;=EDATE($B$3,-2))),1,0)))</f>
        <v/>
      </c>
      <c r="L63" s="45" t="str">
        <f aca="false">IF($A63="","",SUMIFS(Trips!$M$5:$M$1004,Trips!$B$5:$B$1004,$A63,Trips!$L$5:$L$1004,"&lt;="&amp;$B$3)-SUMIFS(Expenses!$E$5:$E$1004,Expenses!$B$5:$B$1004,$A63,Expenses!$G$5:$G$1004,"&lt;="&amp;$B$3)-Fleet!$O$62*IF(N(Fleet!$E$62)=0,0,MAX(0,(YEAR(IF(Fleet!$F$62="",EOMONTH($B$3,0),MIN(Fleet!$F$62,EOMONTH($B$3,0))))-YEAR(Fleet!$E$62))*12+MONTH(IF(Fleet!$F$62="",EOMONTH($B$3,0),MIN(Fleet!$F$62,EOMONTH($B$3,0))))-MONTH(Fleet!$E$62)+1)))</f>
        <v/>
      </c>
      <c r="M63" s="46" t="str">
        <f aca="false">IF($A63="","",Fleet!$H$62)</f>
        <v/>
      </c>
      <c r="N63" s="44" t="str">
        <f aca="false">IF(OR($A63="",N(M63)=0),"",L63/M63)</f>
        <v/>
      </c>
      <c r="O63" s="2" t="str">
        <f aca="false">IF(OR($A63="",N(C63)=0),"",IF(AND(I63&lt;0,J63&lt;0,K63&lt;0),"REVIEW: 3 losing months",IF(I63&lt;Assumptions!$B$9,"Below net target",IF(E63&lt;Assumptions!$B$8,"Low utilization","On track"))))</f>
        <v/>
      </c>
    </row>
    <row r="64" customFormat="false" ht="15" hidden="false" customHeight="false" outlineLevel="0" collapsed="false">
      <c r="A64" s="41" t="str">
        <f aca="false">IF(Fleet!A63="","",Fleet!A63)</f>
        <v/>
      </c>
      <c r="B64" s="41" t="str">
        <f aca="false">IF(Fleet!A63="","",Fleet!B63&amp;" "&amp;Fleet!C63)</f>
        <v/>
      </c>
      <c r="C64" s="42" t="str">
        <f aca="false">IF($A64="","",IF(AND(Fleet!$A$63&lt;&gt;"",N(Fleet!$E$63)&lt;=EOMONTH($B$3,0),OR(Fleet!$F$63="",N(Fleet!$F$63)&gt;=$B$3)),1,0))</f>
        <v/>
      </c>
      <c r="D64" s="43" t="str">
        <f aca="false">IF($A64="","",SUMIFS(Trips!$E$5:$E$1004,Trips!$B$5:$B$1004,$A64,Trips!$L$5:$L$1004,$B$3))</f>
        <v/>
      </c>
      <c r="E64" s="44" t="str">
        <f aca="false">IF(OR($A64="",N(C64)=0),"",D64/DAY(EOMONTH($B$3,0)))</f>
        <v/>
      </c>
      <c r="F64" s="45" t="str">
        <f aca="false">IF($A64="","",SUMIFS(Trips!$H$5:$H$1004,Trips!$B$5:$B$1004,$A64,Trips!$L$5:$L$1004,$B$3)+SUMIFS(Trips!$I$5:$I$1004,Trips!$B$5:$B$1004,$A64,Trips!$L$5:$L$1004,$B$3))</f>
        <v/>
      </c>
      <c r="G64" s="45" t="str">
        <f aca="false">IF($A64="","",SUMIFS(Trips!$J$5:$J$1004,Trips!$B$5:$B$1004,$A64,Trips!$L$5:$L$1004,$B$3)+SUMIFS(Expenses!$E$5:$E$1004,Expenses!$B$5:$B$1004,$A64,Expenses!$G$5:$G$1004,$B$3))</f>
        <v/>
      </c>
      <c r="H64" s="45" t="str">
        <f aca="false">IF($A64="","",Fleet!$O$63*C64)</f>
        <v/>
      </c>
      <c r="I64" s="45" t="str">
        <f aca="false">IF($A64="","",F64-G64-H64)</f>
        <v/>
      </c>
      <c r="J64" s="45" t="str">
        <f aca="false">IF($A64="","",(SUMIFS(Trips!$H$5:$H$1004,Trips!$B$5:$B$1004,$A64,Trips!$L$5:$L$1004,EDATE($B$3,-1))+SUMIFS(Trips!$I$5:$I$1004,Trips!$B$5:$B$1004,$A64,Trips!$L$5:$L$1004,EDATE($B$3,-1))-SUMIFS(Trips!$J$5:$J$1004,Trips!$B$5:$B$1004,$A64,Trips!$L$5:$L$1004,EDATE($B$3,-1))-SUMIFS(Expenses!$E$5:$E$1004,Expenses!$B$5:$B$1004,$A64,Expenses!$G$5:$G$1004,EDATE($B$3,-1))-Fleet!$O$63*IF(AND(Fleet!$A$63&lt;&gt;"",N(Fleet!$E$63)&lt;=EOMONTH(EDATE($B$3,-1),0),OR(Fleet!$F$63="",N(Fleet!$F$63)&gt;=EDATE($B$3,-1))),1,0)))</f>
        <v/>
      </c>
      <c r="K64" s="45" t="str">
        <f aca="false">IF($A64="","",(SUMIFS(Trips!$H$5:$H$1004,Trips!$B$5:$B$1004,$A64,Trips!$L$5:$L$1004,EDATE($B$3,-2))+SUMIFS(Trips!$I$5:$I$1004,Trips!$B$5:$B$1004,$A64,Trips!$L$5:$L$1004,EDATE($B$3,-2))-SUMIFS(Trips!$J$5:$J$1004,Trips!$B$5:$B$1004,$A64,Trips!$L$5:$L$1004,EDATE($B$3,-2))-SUMIFS(Expenses!$E$5:$E$1004,Expenses!$B$5:$B$1004,$A64,Expenses!$G$5:$G$1004,EDATE($B$3,-2))-Fleet!$O$63*IF(AND(Fleet!$A$63&lt;&gt;"",N(Fleet!$E$63)&lt;=EOMONTH(EDATE($B$3,-2),0),OR(Fleet!$F$63="",N(Fleet!$F$63)&gt;=EDATE($B$3,-2))),1,0)))</f>
        <v/>
      </c>
      <c r="L64" s="45" t="str">
        <f aca="false">IF($A64="","",SUMIFS(Trips!$M$5:$M$1004,Trips!$B$5:$B$1004,$A64,Trips!$L$5:$L$1004,"&lt;="&amp;$B$3)-SUMIFS(Expenses!$E$5:$E$1004,Expenses!$B$5:$B$1004,$A64,Expenses!$G$5:$G$1004,"&lt;="&amp;$B$3)-Fleet!$O$63*IF(N(Fleet!$E$63)=0,0,MAX(0,(YEAR(IF(Fleet!$F$63="",EOMONTH($B$3,0),MIN(Fleet!$F$63,EOMONTH($B$3,0))))-YEAR(Fleet!$E$63))*12+MONTH(IF(Fleet!$F$63="",EOMONTH($B$3,0),MIN(Fleet!$F$63,EOMONTH($B$3,0))))-MONTH(Fleet!$E$63)+1)))</f>
        <v/>
      </c>
      <c r="M64" s="46" t="str">
        <f aca="false">IF($A64="","",Fleet!$H$63)</f>
        <v/>
      </c>
      <c r="N64" s="44" t="str">
        <f aca="false">IF(OR($A64="",N(M64)=0),"",L64/M64)</f>
        <v/>
      </c>
      <c r="O64" s="2" t="str">
        <f aca="false">IF(OR($A64="",N(C64)=0),"",IF(AND(I64&lt;0,J64&lt;0,K64&lt;0),"REVIEW: 3 losing months",IF(I64&lt;Assumptions!$B$9,"Below net target",IF(E64&lt;Assumptions!$B$8,"Low utilization","On track"))))</f>
        <v/>
      </c>
    </row>
    <row r="65" customFormat="false" ht="15" hidden="false" customHeight="false" outlineLevel="0" collapsed="false">
      <c r="A65" s="41" t="str">
        <f aca="false">IF(Fleet!A64="","",Fleet!A64)</f>
        <v/>
      </c>
      <c r="B65" s="41" t="str">
        <f aca="false">IF(Fleet!A64="","",Fleet!B64&amp;" "&amp;Fleet!C64)</f>
        <v/>
      </c>
      <c r="C65" s="42" t="str">
        <f aca="false">IF($A65="","",IF(AND(Fleet!$A$64&lt;&gt;"",N(Fleet!$E$64)&lt;=EOMONTH($B$3,0),OR(Fleet!$F$64="",N(Fleet!$F$64)&gt;=$B$3)),1,0))</f>
        <v/>
      </c>
      <c r="D65" s="43" t="str">
        <f aca="false">IF($A65="","",SUMIFS(Trips!$E$5:$E$1004,Trips!$B$5:$B$1004,$A65,Trips!$L$5:$L$1004,$B$3))</f>
        <v/>
      </c>
      <c r="E65" s="44" t="str">
        <f aca="false">IF(OR($A65="",N(C65)=0),"",D65/DAY(EOMONTH($B$3,0)))</f>
        <v/>
      </c>
      <c r="F65" s="45" t="str">
        <f aca="false">IF($A65="","",SUMIFS(Trips!$H$5:$H$1004,Trips!$B$5:$B$1004,$A65,Trips!$L$5:$L$1004,$B$3)+SUMIFS(Trips!$I$5:$I$1004,Trips!$B$5:$B$1004,$A65,Trips!$L$5:$L$1004,$B$3))</f>
        <v/>
      </c>
      <c r="G65" s="45" t="str">
        <f aca="false">IF($A65="","",SUMIFS(Trips!$J$5:$J$1004,Trips!$B$5:$B$1004,$A65,Trips!$L$5:$L$1004,$B$3)+SUMIFS(Expenses!$E$5:$E$1004,Expenses!$B$5:$B$1004,$A65,Expenses!$G$5:$G$1004,$B$3))</f>
        <v/>
      </c>
      <c r="H65" s="45" t="str">
        <f aca="false">IF($A65="","",Fleet!$O$64*C65)</f>
        <v/>
      </c>
      <c r="I65" s="45" t="str">
        <f aca="false">IF($A65="","",F65-G65-H65)</f>
        <v/>
      </c>
      <c r="J65" s="45" t="str">
        <f aca="false">IF($A65="","",(SUMIFS(Trips!$H$5:$H$1004,Trips!$B$5:$B$1004,$A65,Trips!$L$5:$L$1004,EDATE($B$3,-1))+SUMIFS(Trips!$I$5:$I$1004,Trips!$B$5:$B$1004,$A65,Trips!$L$5:$L$1004,EDATE($B$3,-1))-SUMIFS(Trips!$J$5:$J$1004,Trips!$B$5:$B$1004,$A65,Trips!$L$5:$L$1004,EDATE($B$3,-1))-SUMIFS(Expenses!$E$5:$E$1004,Expenses!$B$5:$B$1004,$A65,Expenses!$G$5:$G$1004,EDATE($B$3,-1))-Fleet!$O$64*IF(AND(Fleet!$A$64&lt;&gt;"",N(Fleet!$E$64)&lt;=EOMONTH(EDATE($B$3,-1),0),OR(Fleet!$F$64="",N(Fleet!$F$64)&gt;=EDATE($B$3,-1))),1,0)))</f>
        <v/>
      </c>
      <c r="K65" s="45" t="str">
        <f aca="false">IF($A65="","",(SUMIFS(Trips!$H$5:$H$1004,Trips!$B$5:$B$1004,$A65,Trips!$L$5:$L$1004,EDATE($B$3,-2))+SUMIFS(Trips!$I$5:$I$1004,Trips!$B$5:$B$1004,$A65,Trips!$L$5:$L$1004,EDATE($B$3,-2))-SUMIFS(Trips!$J$5:$J$1004,Trips!$B$5:$B$1004,$A65,Trips!$L$5:$L$1004,EDATE($B$3,-2))-SUMIFS(Expenses!$E$5:$E$1004,Expenses!$B$5:$B$1004,$A65,Expenses!$G$5:$G$1004,EDATE($B$3,-2))-Fleet!$O$64*IF(AND(Fleet!$A$64&lt;&gt;"",N(Fleet!$E$64)&lt;=EOMONTH(EDATE($B$3,-2),0),OR(Fleet!$F$64="",N(Fleet!$F$64)&gt;=EDATE($B$3,-2))),1,0)))</f>
        <v/>
      </c>
      <c r="L65" s="45" t="str">
        <f aca="false">IF($A65="","",SUMIFS(Trips!$M$5:$M$1004,Trips!$B$5:$B$1004,$A65,Trips!$L$5:$L$1004,"&lt;="&amp;$B$3)-SUMIFS(Expenses!$E$5:$E$1004,Expenses!$B$5:$B$1004,$A65,Expenses!$G$5:$G$1004,"&lt;="&amp;$B$3)-Fleet!$O$64*IF(N(Fleet!$E$64)=0,0,MAX(0,(YEAR(IF(Fleet!$F$64="",EOMONTH($B$3,0),MIN(Fleet!$F$64,EOMONTH($B$3,0))))-YEAR(Fleet!$E$64))*12+MONTH(IF(Fleet!$F$64="",EOMONTH($B$3,0),MIN(Fleet!$F$64,EOMONTH($B$3,0))))-MONTH(Fleet!$E$64)+1)))</f>
        <v/>
      </c>
      <c r="M65" s="46" t="str">
        <f aca="false">IF($A65="","",Fleet!$H$64)</f>
        <v/>
      </c>
      <c r="N65" s="44" t="str">
        <f aca="false">IF(OR($A65="",N(M65)=0),"",L65/M65)</f>
        <v/>
      </c>
      <c r="O65" s="2" t="str">
        <f aca="false">IF(OR($A65="",N(C65)=0),"",IF(AND(I65&lt;0,J65&lt;0,K65&lt;0),"REVIEW: 3 losing months",IF(I65&lt;Assumptions!$B$9,"Below net target",IF(E65&lt;Assumptions!$B$8,"Low utilization","On track"))))</f>
        <v/>
      </c>
    </row>
    <row r="66" customFormat="false" ht="15" hidden="false" customHeight="false" outlineLevel="0" collapsed="false">
      <c r="A66" s="41" t="str">
        <f aca="false">IF(Fleet!A65="","",Fleet!A65)</f>
        <v/>
      </c>
      <c r="B66" s="41" t="str">
        <f aca="false">IF(Fleet!A65="","",Fleet!B65&amp;" "&amp;Fleet!C65)</f>
        <v/>
      </c>
      <c r="C66" s="42" t="str">
        <f aca="false">IF($A66="","",IF(AND(Fleet!$A$65&lt;&gt;"",N(Fleet!$E$65)&lt;=EOMONTH($B$3,0),OR(Fleet!$F$65="",N(Fleet!$F$65)&gt;=$B$3)),1,0))</f>
        <v/>
      </c>
      <c r="D66" s="43" t="str">
        <f aca="false">IF($A66="","",SUMIFS(Trips!$E$5:$E$1004,Trips!$B$5:$B$1004,$A66,Trips!$L$5:$L$1004,$B$3))</f>
        <v/>
      </c>
      <c r="E66" s="44" t="str">
        <f aca="false">IF(OR($A66="",N(C66)=0),"",D66/DAY(EOMONTH($B$3,0)))</f>
        <v/>
      </c>
      <c r="F66" s="45" t="str">
        <f aca="false">IF($A66="","",SUMIFS(Trips!$H$5:$H$1004,Trips!$B$5:$B$1004,$A66,Trips!$L$5:$L$1004,$B$3)+SUMIFS(Trips!$I$5:$I$1004,Trips!$B$5:$B$1004,$A66,Trips!$L$5:$L$1004,$B$3))</f>
        <v/>
      </c>
      <c r="G66" s="45" t="str">
        <f aca="false">IF($A66="","",SUMIFS(Trips!$J$5:$J$1004,Trips!$B$5:$B$1004,$A66,Trips!$L$5:$L$1004,$B$3)+SUMIFS(Expenses!$E$5:$E$1004,Expenses!$B$5:$B$1004,$A66,Expenses!$G$5:$G$1004,$B$3))</f>
        <v/>
      </c>
      <c r="H66" s="45" t="str">
        <f aca="false">IF($A66="","",Fleet!$O$65*C66)</f>
        <v/>
      </c>
      <c r="I66" s="45" t="str">
        <f aca="false">IF($A66="","",F66-G66-H66)</f>
        <v/>
      </c>
      <c r="J66" s="45" t="str">
        <f aca="false">IF($A66="","",(SUMIFS(Trips!$H$5:$H$1004,Trips!$B$5:$B$1004,$A66,Trips!$L$5:$L$1004,EDATE($B$3,-1))+SUMIFS(Trips!$I$5:$I$1004,Trips!$B$5:$B$1004,$A66,Trips!$L$5:$L$1004,EDATE($B$3,-1))-SUMIFS(Trips!$J$5:$J$1004,Trips!$B$5:$B$1004,$A66,Trips!$L$5:$L$1004,EDATE($B$3,-1))-SUMIFS(Expenses!$E$5:$E$1004,Expenses!$B$5:$B$1004,$A66,Expenses!$G$5:$G$1004,EDATE($B$3,-1))-Fleet!$O$65*IF(AND(Fleet!$A$65&lt;&gt;"",N(Fleet!$E$65)&lt;=EOMONTH(EDATE($B$3,-1),0),OR(Fleet!$F$65="",N(Fleet!$F$65)&gt;=EDATE($B$3,-1))),1,0)))</f>
        <v/>
      </c>
      <c r="K66" s="45" t="str">
        <f aca="false">IF($A66="","",(SUMIFS(Trips!$H$5:$H$1004,Trips!$B$5:$B$1004,$A66,Trips!$L$5:$L$1004,EDATE($B$3,-2))+SUMIFS(Trips!$I$5:$I$1004,Trips!$B$5:$B$1004,$A66,Trips!$L$5:$L$1004,EDATE($B$3,-2))-SUMIFS(Trips!$J$5:$J$1004,Trips!$B$5:$B$1004,$A66,Trips!$L$5:$L$1004,EDATE($B$3,-2))-SUMIFS(Expenses!$E$5:$E$1004,Expenses!$B$5:$B$1004,$A66,Expenses!$G$5:$G$1004,EDATE($B$3,-2))-Fleet!$O$65*IF(AND(Fleet!$A$65&lt;&gt;"",N(Fleet!$E$65)&lt;=EOMONTH(EDATE($B$3,-2),0),OR(Fleet!$F$65="",N(Fleet!$F$65)&gt;=EDATE($B$3,-2))),1,0)))</f>
        <v/>
      </c>
      <c r="L66" s="45" t="str">
        <f aca="false">IF($A66="","",SUMIFS(Trips!$M$5:$M$1004,Trips!$B$5:$B$1004,$A66,Trips!$L$5:$L$1004,"&lt;="&amp;$B$3)-SUMIFS(Expenses!$E$5:$E$1004,Expenses!$B$5:$B$1004,$A66,Expenses!$G$5:$G$1004,"&lt;="&amp;$B$3)-Fleet!$O$65*IF(N(Fleet!$E$65)=0,0,MAX(0,(YEAR(IF(Fleet!$F$65="",EOMONTH($B$3,0),MIN(Fleet!$F$65,EOMONTH($B$3,0))))-YEAR(Fleet!$E$65))*12+MONTH(IF(Fleet!$F$65="",EOMONTH($B$3,0),MIN(Fleet!$F$65,EOMONTH($B$3,0))))-MONTH(Fleet!$E$65)+1)))</f>
        <v/>
      </c>
      <c r="M66" s="46" t="str">
        <f aca="false">IF($A66="","",Fleet!$H$65)</f>
        <v/>
      </c>
      <c r="N66" s="44" t="str">
        <f aca="false">IF(OR($A66="",N(M66)=0),"",L66/M66)</f>
        <v/>
      </c>
      <c r="O66" s="2" t="str">
        <f aca="false">IF(OR($A66="",N(C66)=0),"",IF(AND(I66&lt;0,J66&lt;0,K66&lt;0),"REVIEW: 3 losing months",IF(I66&lt;Assumptions!$B$9,"Below net target",IF(E66&lt;Assumptions!$B$8,"Low utilization","On track"))))</f>
        <v/>
      </c>
    </row>
    <row r="67" customFormat="false" ht="15" hidden="false" customHeight="false" outlineLevel="0" collapsed="false">
      <c r="A67" s="41" t="str">
        <f aca="false">IF(Fleet!A66="","",Fleet!A66)</f>
        <v/>
      </c>
      <c r="B67" s="41" t="str">
        <f aca="false">IF(Fleet!A66="","",Fleet!B66&amp;" "&amp;Fleet!C66)</f>
        <v/>
      </c>
      <c r="C67" s="42" t="str">
        <f aca="false">IF($A67="","",IF(AND(Fleet!$A$66&lt;&gt;"",N(Fleet!$E$66)&lt;=EOMONTH($B$3,0),OR(Fleet!$F$66="",N(Fleet!$F$66)&gt;=$B$3)),1,0))</f>
        <v/>
      </c>
      <c r="D67" s="43" t="str">
        <f aca="false">IF($A67="","",SUMIFS(Trips!$E$5:$E$1004,Trips!$B$5:$B$1004,$A67,Trips!$L$5:$L$1004,$B$3))</f>
        <v/>
      </c>
      <c r="E67" s="44" t="str">
        <f aca="false">IF(OR($A67="",N(C67)=0),"",D67/DAY(EOMONTH($B$3,0)))</f>
        <v/>
      </c>
      <c r="F67" s="45" t="str">
        <f aca="false">IF($A67="","",SUMIFS(Trips!$H$5:$H$1004,Trips!$B$5:$B$1004,$A67,Trips!$L$5:$L$1004,$B$3)+SUMIFS(Trips!$I$5:$I$1004,Trips!$B$5:$B$1004,$A67,Trips!$L$5:$L$1004,$B$3))</f>
        <v/>
      </c>
      <c r="G67" s="45" t="str">
        <f aca="false">IF($A67="","",SUMIFS(Trips!$J$5:$J$1004,Trips!$B$5:$B$1004,$A67,Trips!$L$5:$L$1004,$B$3)+SUMIFS(Expenses!$E$5:$E$1004,Expenses!$B$5:$B$1004,$A67,Expenses!$G$5:$G$1004,$B$3))</f>
        <v/>
      </c>
      <c r="H67" s="45" t="str">
        <f aca="false">IF($A67="","",Fleet!$O$66*C67)</f>
        <v/>
      </c>
      <c r="I67" s="45" t="str">
        <f aca="false">IF($A67="","",F67-G67-H67)</f>
        <v/>
      </c>
      <c r="J67" s="45" t="str">
        <f aca="false">IF($A67="","",(SUMIFS(Trips!$H$5:$H$1004,Trips!$B$5:$B$1004,$A67,Trips!$L$5:$L$1004,EDATE($B$3,-1))+SUMIFS(Trips!$I$5:$I$1004,Trips!$B$5:$B$1004,$A67,Trips!$L$5:$L$1004,EDATE($B$3,-1))-SUMIFS(Trips!$J$5:$J$1004,Trips!$B$5:$B$1004,$A67,Trips!$L$5:$L$1004,EDATE($B$3,-1))-SUMIFS(Expenses!$E$5:$E$1004,Expenses!$B$5:$B$1004,$A67,Expenses!$G$5:$G$1004,EDATE($B$3,-1))-Fleet!$O$66*IF(AND(Fleet!$A$66&lt;&gt;"",N(Fleet!$E$66)&lt;=EOMONTH(EDATE($B$3,-1),0),OR(Fleet!$F$66="",N(Fleet!$F$66)&gt;=EDATE($B$3,-1))),1,0)))</f>
        <v/>
      </c>
      <c r="K67" s="45" t="str">
        <f aca="false">IF($A67="","",(SUMIFS(Trips!$H$5:$H$1004,Trips!$B$5:$B$1004,$A67,Trips!$L$5:$L$1004,EDATE($B$3,-2))+SUMIFS(Trips!$I$5:$I$1004,Trips!$B$5:$B$1004,$A67,Trips!$L$5:$L$1004,EDATE($B$3,-2))-SUMIFS(Trips!$J$5:$J$1004,Trips!$B$5:$B$1004,$A67,Trips!$L$5:$L$1004,EDATE($B$3,-2))-SUMIFS(Expenses!$E$5:$E$1004,Expenses!$B$5:$B$1004,$A67,Expenses!$G$5:$G$1004,EDATE($B$3,-2))-Fleet!$O$66*IF(AND(Fleet!$A$66&lt;&gt;"",N(Fleet!$E$66)&lt;=EOMONTH(EDATE($B$3,-2),0),OR(Fleet!$F$66="",N(Fleet!$F$66)&gt;=EDATE($B$3,-2))),1,0)))</f>
        <v/>
      </c>
      <c r="L67" s="45" t="str">
        <f aca="false">IF($A67="","",SUMIFS(Trips!$M$5:$M$1004,Trips!$B$5:$B$1004,$A67,Trips!$L$5:$L$1004,"&lt;="&amp;$B$3)-SUMIFS(Expenses!$E$5:$E$1004,Expenses!$B$5:$B$1004,$A67,Expenses!$G$5:$G$1004,"&lt;="&amp;$B$3)-Fleet!$O$66*IF(N(Fleet!$E$66)=0,0,MAX(0,(YEAR(IF(Fleet!$F$66="",EOMONTH($B$3,0),MIN(Fleet!$F$66,EOMONTH($B$3,0))))-YEAR(Fleet!$E$66))*12+MONTH(IF(Fleet!$F$66="",EOMONTH($B$3,0),MIN(Fleet!$F$66,EOMONTH($B$3,0))))-MONTH(Fleet!$E$66)+1)))</f>
        <v/>
      </c>
      <c r="M67" s="46" t="str">
        <f aca="false">IF($A67="","",Fleet!$H$66)</f>
        <v/>
      </c>
      <c r="N67" s="44" t="str">
        <f aca="false">IF(OR($A67="",N(M67)=0),"",L67/M67)</f>
        <v/>
      </c>
      <c r="O67" s="2" t="str">
        <f aca="false">IF(OR($A67="",N(C67)=0),"",IF(AND(I67&lt;0,J67&lt;0,K67&lt;0),"REVIEW: 3 losing months",IF(I67&lt;Assumptions!$B$9,"Below net target",IF(E67&lt;Assumptions!$B$8,"Low utilization","On track"))))</f>
        <v/>
      </c>
    </row>
    <row r="68" customFormat="false" ht="15" hidden="false" customHeight="false" outlineLevel="0" collapsed="false">
      <c r="A68" s="41" t="str">
        <f aca="false">IF(Fleet!A67="","",Fleet!A67)</f>
        <v/>
      </c>
      <c r="B68" s="41" t="str">
        <f aca="false">IF(Fleet!A67="","",Fleet!B67&amp;" "&amp;Fleet!C67)</f>
        <v/>
      </c>
      <c r="C68" s="42" t="str">
        <f aca="false">IF($A68="","",IF(AND(Fleet!$A$67&lt;&gt;"",N(Fleet!$E$67)&lt;=EOMONTH($B$3,0),OR(Fleet!$F$67="",N(Fleet!$F$67)&gt;=$B$3)),1,0))</f>
        <v/>
      </c>
      <c r="D68" s="43" t="str">
        <f aca="false">IF($A68="","",SUMIFS(Trips!$E$5:$E$1004,Trips!$B$5:$B$1004,$A68,Trips!$L$5:$L$1004,$B$3))</f>
        <v/>
      </c>
      <c r="E68" s="44" t="str">
        <f aca="false">IF(OR($A68="",N(C68)=0),"",D68/DAY(EOMONTH($B$3,0)))</f>
        <v/>
      </c>
      <c r="F68" s="45" t="str">
        <f aca="false">IF($A68="","",SUMIFS(Trips!$H$5:$H$1004,Trips!$B$5:$B$1004,$A68,Trips!$L$5:$L$1004,$B$3)+SUMIFS(Trips!$I$5:$I$1004,Trips!$B$5:$B$1004,$A68,Trips!$L$5:$L$1004,$B$3))</f>
        <v/>
      </c>
      <c r="G68" s="45" t="str">
        <f aca="false">IF($A68="","",SUMIFS(Trips!$J$5:$J$1004,Trips!$B$5:$B$1004,$A68,Trips!$L$5:$L$1004,$B$3)+SUMIFS(Expenses!$E$5:$E$1004,Expenses!$B$5:$B$1004,$A68,Expenses!$G$5:$G$1004,$B$3))</f>
        <v/>
      </c>
      <c r="H68" s="45" t="str">
        <f aca="false">IF($A68="","",Fleet!$O$67*C68)</f>
        <v/>
      </c>
      <c r="I68" s="45" t="str">
        <f aca="false">IF($A68="","",F68-G68-H68)</f>
        <v/>
      </c>
      <c r="J68" s="45" t="str">
        <f aca="false">IF($A68="","",(SUMIFS(Trips!$H$5:$H$1004,Trips!$B$5:$B$1004,$A68,Trips!$L$5:$L$1004,EDATE($B$3,-1))+SUMIFS(Trips!$I$5:$I$1004,Trips!$B$5:$B$1004,$A68,Trips!$L$5:$L$1004,EDATE($B$3,-1))-SUMIFS(Trips!$J$5:$J$1004,Trips!$B$5:$B$1004,$A68,Trips!$L$5:$L$1004,EDATE($B$3,-1))-SUMIFS(Expenses!$E$5:$E$1004,Expenses!$B$5:$B$1004,$A68,Expenses!$G$5:$G$1004,EDATE($B$3,-1))-Fleet!$O$67*IF(AND(Fleet!$A$67&lt;&gt;"",N(Fleet!$E$67)&lt;=EOMONTH(EDATE($B$3,-1),0),OR(Fleet!$F$67="",N(Fleet!$F$67)&gt;=EDATE($B$3,-1))),1,0)))</f>
        <v/>
      </c>
      <c r="K68" s="45" t="str">
        <f aca="false">IF($A68="","",(SUMIFS(Trips!$H$5:$H$1004,Trips!$B$5:$B$1004,$A68,Trips!$L$5:$L$1004,EDATE($B$3,-2))+SUMIFS(Trips!$I$5:$I$1004,Trips!$B$5:$B$1004,$A68,Trips!$L$5:$L$1004,EDATE($B$3,-2))-SUMIFS(Trips!$J$5:$J$1004,Trips!$B$5:$B$1004,$A68,Trips!$L$5:$L$1004,EDATE($B$3,-2))-SUMIFS(Expenses!$E$5:$E$1004,Expenses!$B$5:$B$1004,$A68,Expenses!$G$5:$G$1004,EDATE($B$3,-2))-Fleet!$O$67*IF(AND(Fleet!$A$67&lt;&gt;"",N(Fleet!$E$67)&lt;=EOMONTH(EDATE($B$3,-2),0),OR(Fleet!$F$67="",N(Fleet!$F$67)&gt;=EDATE($B$3,-2))),1,0)))</f>
        <v/>
      </c>
      <c r="L68" s="45" t="str">
        <f aca="false">IF($A68="","",SUMIFS(Trips!$M$5:$M$1004,Trips!$B$5:$B$1004,$A68,Trips!$L$5:$L$1004,"&lt;="&amp;$B$3)-SUMIFS(Expenses!$E$5:$E$1004,Expenses!$B$5:$B$1004,$A68,Expenses!$G$5:$G$1004,"&lt;="&amp;$B$3)-Fleet!$O$67*IF(N(Fleet!$E$67)=0,0,MAX(0,(YEAR(IF(Fleet!$F$67="",EOMONTH($B$3,0),MIN(Fleet!$F$67,EOMONTH($B$3,0))))-YEAR(Fleet!$E$67))*12+MONTH(IF(Fleet!$F$67="",EOMONTH($B$3,0),MIN(Fleet!$F$67,EOMONTH($B$3,0))))-MONTH(Fleet!$E$67)+1)))</f>
        <v/>
      </c>
      <c r="M68" s="46" t="str">
        <f aca="false">IF($A68="","",Fleet!$H$67)</f>
        <v/>
      </c>
      <c r="N68" s="44" t="str">
        <f aca="false">IF(OR($A68="",N(M68)=0),"",L68/M68)</f>
        <v/>
      </c>
      <c r="O68" s="2" t="str">
        <f aca="false">IF(OR($A68="",N(C68)=0),"",IF(AND(I68&lt;0,J68&lt;0,K68&lt;0),"REVIEW: 3 losing months",IF(I68&lt;Assumptions!$B$9,"Below net target",IF(E68&lt;Assumptions!$B$8,"Low utilization","On track"))))</f>
        <v/>
      </c>
    </row>
    <row r="69" customFormat="false" ht="15" hidden="false" customHeight="false" outlineLevel="0" collapsed="false">
      <c r="A69" s="41" t="str">
        <f aca="false">IF(Fleet!A68="","",Fleet!A68)</f>
        <v/>
      </c>
      <c r="B69" s="41" t="str">
        <f aca="false">IF(Fleet!A68="","",Fleet!B68&amp;" "&amp;Fleet!C68)</f>
        <v/>
      </c>
      <c r="C69" s="42" t="str">
        <f aca="false">IF($A69="","",IF(AND(Fleet!$A$68&lt;&gt;"",N(Fleet!$E$68)&lt;=EOMONTH($B$3,0),OR(Fleet!$F$68="",N(Fleet!$F$68)&gt;=$B$3)),1,0))</f>
        <v/>
      </c>
      <c r="D69" s="43" t="str">
        <f aca="false">IF($A69="","",SUMIFS(Trips!$E$5:$E$1004,Trips!$B$5:$B$1004,$A69,Trips!$L$5:$L$1004,$B$3))</f>
        <v/>
      </c>
      <c r="E69" s="44" t="str">
        <f aca="false">IF(OR($A69="",N(C69)=0),"",D69/DAY(EOMONTH($B$3,0)))</f>
        <v/>
      </c>
      <c r="F69" s="45" t="str">
        <f aca="false">IF($A69="","",SUMIFS(Trips!$H$5:$H$1004,Trips!$B$5:$B$1004,$A69,Trips!$L$5:$L$1004,$B$3)+SUMIFS(Trips!$I$5:$I$1004,Trips!$B$5:$B$1004,$A69,Trips!$L$5:$L$1004,$B$3))</f>
        <v/>
      </c>
      <c r="G69" s="45" t="str">
        <f aca="false">IF($A69="","",SUMIFS(Trips!$J$5:$J$1004,Trips!$B$5:$B$1004,$A69,Trips!$L$5:$L$1004,$B$3)+SUMIFS(Expenses!$E$5:$E$1004,Expenses!$B$5:$B$1004,$A69,Expenses!$G$5:$G$1004,$B$3))</f>
        <v/>
      </c>
      <c r="H69" s="45" t="str">
        <f aca="false">IF($A69="","",Fleet!$O$68*C69)</f>
        <v/>
      </c>
      <c r="I69" s="45" t="str">
        <f aca="false">IF($A69="","",F69-G69-H69)</f>
        <v/>
      </c>
      <c r="J69" s="45" t="str">
        <f aca="false">IF($A69="","",(SUMIFS(Trips!$H$5:$H$1004,Trips!$B$5:$B$1004,$A69,Trips!$L$5:$L$1004,EDATE($B$3,-1))+SUMIFS(Trips!$I$5:$I$1004,Trips!$B$5:$B$1004,$A69,Trips!$L$5:$L$1004,EDATE($B$3,-1))-SUMIFS(Trips!$J$5:$J$1004,Trips!$B$5:$B$1004,$A69,Trips!$L$5:$L$1004,EDATE($B$3,-1))-SUMIFS(Expenses!$E$5:$E$1004,Expenses!$B$5:$B$1004,$A69,Expenses!$G$5:$G$1004,EDATE($B$3,-1))-Fleet!$O$68*IF(AND(Fleet!$A$68&lt;&gt;"",N(Fleet!$E$68)&lt;=EOMONTH(EDATE($B$3,-1),0),OR(Fleet!$F$68="",N(Fleet!$F$68)&gt;=EDATE($B$3,-1))),1,0)))</f>
        <v/>
      </c>
      <c r="K69" s="45" t="str">
        <f aca="false">IF($A69="","",(SUMIFS(Trips!$H$5:$H$1004,Trips!$B$5:$B$1004,$A69,Trips!$L$5:$L$1004,EDATE($B$3,-2))+SUMIFS(Trips!$I$5:$I$1004,Trips!$B$5:$B$1004,$A69,Trips!$L$5:$L$1004,EDATE($B$3,-2))-SUMIFS(Trips!$J$5:$J$1004,Trips!$B$5:$B$1004,$A69,Trips!$L$5:$L$1004,EDATE($B$3,-2))-SUMIFS(Expenses!$E$5:$E$1004,Expenses!$B$5:$B$1004,$A69,Expenses!$G$5:$G$1004,EDATE($B$3,-2))-Fleet!$O$68*IF(AND(Fleet!$A$68&lt;&gt;"",N(Fleet!$E$68)&lt;=EOMONTH(EDATE($B$3,-2),0),OR(Fleet!$F$68="",N(Fleet!$F$68)&gt;=EDATE($B$3,-2))),1,0)))</f>
        <v/>
      </c>
      <c r="L69" s="45" t="str">
        <f aca="false">IF($A69="","",SUMIFS(Trips!$M$5:$M$1004,Trips!$B$5:$B$1004,$A69,Trips!$L$5:$L$1004,"&lt;="&amp;$B$3)-SUMIFS(Expenses!$E$5:$E$1004,Expenses!$B$5:$B$1004,$A69,Expenses!$G$5:$G$1004,"&lt;="&amp;$B$3)-Fleet!$O$68*IF(N(Fleet!$E$68)=0,0,MAX(0,(YEAR(IF(Fleet!$F$68="",EOMONTH($B$3,0),MIN(Fleet!$F$68,EOMONTH($B$3,0))))-YEAR(Fleet!$E$68))*12+MONTH(IF(Fleet!$F$68="",EOMONTH($B$3,0),MIN(Fleet!$F$68,EOMONTH($B$3,0))))-MONTH(Fleet!$E$68)+1)))</f>
        <v/>
      </c>
      <c r="M69" s="46" t="str">
        <f aca="false">IF($A69="","",Fleet!$H$68)</f>
        <v/>
      </c>
      <c r="N69" s="44" t="str">
        <f aca="false">IF(OR($A69="",N(M69)=0),"",L69/M69)</f>
        <v/>
      </c>
      <c r="O69" s="2" t="str">
        <f aca="false">IF(OR($A69="",N(C69)=0),"",IF(AND(I69&lt;0,J69&lt;0,K69&lt;0),"REVIEW: 3 losing months",IF(I69&lt;Assumptions!$B$9,"Below net target",IF(E69&lt;Assumptions!$B$8,"Low utilization","On track"))))</f>
        <v/>
      </c>
    </row>
    <row r="70" customFormat="false" ht="15" hidden="false" customHeight="false" outlineLevel="0" collapsed="false">
      <c r="A70" s="41" t="str">
        <f aca="false">IF(Fleet!A69="","",Fleet!A69)</f>
        <v/>
      </c>
      <c r="B70" s="41" t="str">
        <f aca="false">IF(Fleet!A69="","",Fleet!B69&amp;" "&amp;Fleet!C69)</f>
        <v/>
      </c>
      <c r="C70" s="42" t="str">
        <f aca="false">IF($A70="","",IF(AND(Fleet!$A$69&lt;&gt;"",N(Fleet!$E$69)&lt;=EOMONTH($B$3,0),OR(Fleet!$F$69="",N(Fleet!$F$69)&gt;=$B$3)),1,0))</f>
        <v/>
      </c>
      <c r="D70" s="43" t="str">
        <f aca="false">IF($A70="","",SUMIFS(Trips!$E$5:$E$1004,Trips!$B$5:$B$1004,$A70,Trips!$L$5:$L$1004,$B$3))</f>
        <v/>
      </c>
      <c r="E70" s="44" t="str">
        <f aca="false">IF(OR($A70="",N(C70)=0),"",D70/DAY(EOMONTH($B$3,0)))</f>
        <v/>
      </c>
      <c r="F70" s="45" t="str">
        <f aca="false">IF($A70="","",SUMIFS(Trips!$H$5:$H$1004,Trips!$B$5:$B$1004,$A70,Trips!$L$5:$L$1004,$B$3)+SUMIFS(Trips!$I$5:$I$1004,Trips!$B$5:$B$1004,$A70,Trips!$L$5:$L$1004,$B$3))</f>
        <v/>
      </c>
      <c r="G70" s="45" t="str">
        <f aca="false">IF($A70="","",SUMIFS(Trips!$J$5:$J$1004,Trips!$B$5:$B$1004,$A70,Trips!$L$5:$L$1004,$B$3)+SUMIFS(Expenses!$E$5:$E$1004,Expenses!$B$5:$B$1004,$A70,Expenses!$G$5:$G$1004,$B$3))</f>
        <v/>
      </c>
      <c r="H70" s="45" t="str">
        <f aca="false">IF($A70="","",Fleet!$O$69*C70)</f>
        <v/>
      </c>
      <c r="I70" s="45" t="str">
        <f aca="false">IF($A70="","",F70-G70-H70)</f>
        <v/>
      </c>
      <c r="J70" s="45" t="str">
        <f aca="false">IF($A70="","",(SUMIFS(Trips!$H$5:$H$1004,Trips!$B$5:$B$1004,$A70,Trips!$L$5:$L$1004,EDATE($B$3,-1))+SUMIFS(Trips!$I$5:$I$1004,Trips!$B$5:$B$1004,$A70,Trips!$L$5:$L$1004,EDATE($B$3,-1))-SUMIFS(Trips!$J$5:$J$1004,Trips!$B$5:$B$1004,$A70,Trips!$L$5:$L$1004,EDATE($B$3,-1))-SUMIFS(Expenses!$E$5:$E$1004,Expenses!$B$5:$B$1004,$A70,Expenses!$G$5:$G$1004,EDATE($B$3,-1))-Fleet!$O$69*IF(AND(Fleet!$A$69&lt;&gt;"",N(Fleet!$E$69)&lt;=EOMONTH(EDATE($B$3,-1),0),OR(Fleet!$F$69="",N(Fleet!$F$69)&gt;=EDATE($B$3,-1))),1,0)))</f>
        <v/>
      </c>
      <c r="K70" s="45" t="str">
        <f aca="false">IF($A70="","",(SUMIFS(Trips!$H$5:$H$1004,Trips!$B$5:$B$1004,$A70,Trips!$L$5:$L$1004,EDATE($B$3,-2))+SUMIFS(Trips!$I$5:$I$1004,Trips!$B$5:$B$1004,$A70,Trips!$L$5:$L$1004,EDATE($B$3,-2))-SUMIFS(Trips!$J$5:$J$1004,Trips!$B$5:$B$1004,$A70,Trips!$L$5:$L$1004,EDATE($B$3,-2))-SUMIFS(Expenses!$E$5:$E$1004,Expenses!$B$5:$B$1004,$A70,Expenses!$G$5:$G$1004,EDATE($B$3,-2))-Fleet!$O$69*IF(AND(Fleet!$A$69&lt;&gt;"",N(Fleet!$E$69)&lt;=EOMONTH(EDATE($B$3,-2),0),OR(Fleet!$F$69="",N(Fleet!$F$69)&gt;=EDATE($B$3,-2))),1,0)))</f>
        <v/>
      </c>
      <c r="L70" s="45" t="str">
        <f aca="false">IF($A70="","",SUMIFS(Trips!$M$5:$M$1004,Trips!$B$5:$B$1004,$A70,Trips!$L$5:$L$1004,"&lt;="&amp;$B$3)-SUMIFS(Expenses!$E$5:$E$1004,Expenses!$B$5:$B$1004,$A70,Expenses!$G$5:$G$1004,"&lt;="&amp;$B$3)-Fleet!$O$69*IF(N(Fleet!$E$69)=0,0,MAX(0,(YEAR(IF(Fleet!$F$69="",EOMONTH($B$3,0),MIN(Fleet!$F$69,EOMONTH($B$3,0))))-YEAR(Fleet!$E$69))*12+MONTH(IF(Fleet!$F$69="",EOMONTH($B$3,0),MIN(Fleet!$F$69,EOMONTH($B$3,0))))-MONTH(Fleet!$E$69)+1)))</f>
        <v/>
      </c>
      <c r="M70" s="46" t="str">
        <f aca="false">IF($A70="","",Fleet!$H$69)</f>
        <v/>
      </c>
      <c r="N70" s="44" t="str">
        <f aca="false">IF(OR($A70="",N(M70)=0),"",L70/M70)</f>
        <v/>
      </c>
      <c r="O70" s="2" t="str">
        <f aca="false">IF(OR($A70="",N(C70)=0),"",IF(AND(I70&lt;0,J70&lt;0,K70&lt;0),"REVIEW: 3 losing months",IF(I70&lt;Assumptions!$B$9,"Below net target",IF(E70&lt;Assumptions!$B$8,"Low utilization","On track"))))</f>
        <v/>
      </c>
    </row>
    <row r="71" customFormat="false" ht="15" hidden="false" customHeight="false" outlineLevel="0" collapsed="false">
      <c r="A71" s="41" t="str">
        <f aca="false">IF(Fleet!A70="","",Fleet!A70)</f>
        <v/>
      </c>
      <c r="B71" s="41" t="str">
        <f aca="false">IF(Fleet!A70="","",Fleet!B70&amp;" "&amp;Fleet!C70)</f>
        <v/>
      </c>
      <c r="C71" s="42" t="str">
        <f aca="false">IF($A71="","",IF(AND(Fleet!$A$70&lt;&gt;"",N(Fleet!$E$70)&lt;=EOMONTH($B$3,0),OR(Fleet!$F$70="",N(Fleet!$F$70)&gt;=$B$3)),1,0))</f>
        <v/>
      </c>
      <c r="D71" s="43" t="str">
        <f aca="false">IF($A71="","",SUMIFS(Trips!$E$5:$E$1004,Trips!$B$5:$B$1004,$A71,Trips!$L$5:$L$1004,$B$3))</f>
        <v/>
      </c>
      <c r="E71" s="44" t="str">
        <f aca="false">IF(OR($A71="",N(C71)=0),"",D71/DAY(EOMONTH($B$3,0)))</f>
        <v/>
      </c>
      <c r="F71" s="45" t="str">
        <f aca="false">IF($A71="","",SUMIFS(Trips!$H$5:$H$1004,Trips!$B$5:$B$1004,$A71,Trips!$L$5:$L$1004,$B$3)+SUMIFS(Trips!$I$5:$I$1004,Trips!$B$5:$B$1004,$A71,Trips!$L$5:$L$1004,$B$3))</f>
        <v/>
      </c>
      <c r="G71" s="45" t="str">
        <f aca="false">IF($A71="","",SUMIFS(Trips!$J$5:$J$1004,Trips!$B$5:$B$1004,$A71,Trips!$L$5:$L$1004,$B$3)+SUMIFS(Expenses!$E$5:$E$1004,Expenses!$B$5:$B$1004,$A71,Expenses!$G$5:$G$1004,$B$3))</f>
        <v/>
      </c>
      <c r="H71" s="45" t="str">
        <f aca="false">IF($A71="","",Fleet!$O$70*C71)</f>
        <v/>
      </c>
      <c r="I71" s="45" t="str">
        <f aca="false">IF($A71="","",F71-G71-H71)</f>
        <v/>
      </c>
      <c r="J71" s="45" t="str">
        <f aca="false">IF($A71="","",(SUMIFS(Trips!$H$5:$H$1004,Trips!$B$5:$B$1004,$A71,Trips!$L$5:$L$1004,EDATE($B$3,-1))+SUMIFS(Trips!$I$5:$I$1004,Trips!$B$5:$B$1004,$A71,Trips!$L$5:$L$1004,EDATE($B$3,-1))-SUMIFS(Trips!$J$5:$J$1004,Trips!$B$5:$B$1004,$A71,Trips!$L$5:$L$1004,EDATE($B$3,-1))-SUMIFS(Expenses!$E$5:$E$1004,Expenses!$B$5:$B$1004,$A71,Expenses!$G$5:$G$1004,EDATE($B$3,-1))-Fleet!$O$70*IF(AND(Fleet!$A$70&lt;&gt;"",N(Fleet!$E$70)&lt;=EOMONTH(EDATE($B$3,-1),0),OR(Fleet!$F$70="",N(Fleet!$F$70)&gt;=EDATE($B$3,-1))),1,0)))</f>
        <v/>
      </c>
      <c r="K71" s="45" t="str">
        <f aca="false">IF($A71="","",(SUMIFS(Trips!$H$5:$H$1004,Trips!$B$5:$B$1004,$A71,Trips!$L$5:$L$1004,EDATE($B$3,-2))+SUMIFS(Trips!$I$5:$I$1004,Trips!$B$5:$B$1004,$A71,Trips!$L$5:$L$1004,EDATE($B$3,-2))-SUMIFS(Trips!$J$5:$J$1004,Trips!$B$5:$B$1004,$A71,Trips!$L$5:$L$1004,EDATE($B$3,-2))-SUMIFS(Expenses!$E$5:$E$1004,Expenses!$B$5:$B$1004,$A71,Expenses!$G$5:$G$1004,EDATE($B$3,-2))-Fleet!$O$70*IF(AND(Fleet!$A$70&lt;&gt;"",N(Fleet!$E$70)&lt;=EOMONTH(EDATE($B$3,-2),0),OR(Fleet!$F$70="",N(Fleet!$F$70)&gt;=EDATE($B$3,-2))),1,0)))</f>
        <v/>
      </c>
      <c r="L71" s="45" t="str">
        <f aca="false">IF($A71="","",SUMIFS(Trips!$M$5:$M$1004,Trips!$B$5:$B$1004,$A71,Trips!$L$5:$L$1004,"&lt;="&amp;$B$3)-SUMIFS(Expenses!$E$5:$E$1004,Expenses!$B$5:$B$1004,$A71,Expenses!$G$5:$G$1004,"&lt;="&amp;$B$3)-Fleet!$O$70*IF(N(Fleet!$E$70)=0,0,MAX(0,(YEAR(IF(Fleet!$F$70="",EOMONTH($B$3,0),MIN(Fleet!$F$70,EOMONTH($B$3,0))))-YEAR(Fleet!$E$70))*12+MONTH(IF(Fleet!$F$70="",EOMONTH($B$3,0),MIN(Fleet!$F$70,EOMONTH($B$3,0))))-MONTH(Fleet!$E$70)+1)))</f>
        <v/>
      </c>
      <c r="M71" s="46" t="str">
        <f aca="false">IF($A71="","",Fleet!$H$70)</f>
        <v/>
      </c>
      <c r="N71" s="44" t="str">
        <f aca="false">IF(OR($A71="",N(M71)=0),"",L71/M71)</f>
        <v/>
      </c>
      <c r="O71" s="2" t="str">
        <f aca="false">IF(OR($A71="",N(C71)=0),"",IF(AND(I71&lt;0,J71&lt;0,K71&lt;0),"REVIEW: 3 losing months",IF(I71&lt;Assumptions!$B$9,"Below net target",IF(E71&lt;Assumptions!$B$8,"Low utilization","On track"))))</f>
        <v/>
      </c>
    </row>
    <row r="72" customFormat="false" ht="15" hidden="false" customHeight="false" outlineLevel="0" collapsed="false">
      <c r="A72" s="41" t="str">
        <f aca="false">IF(Fleet!A71="","",Fleet!A71)</f>
        <v/>
      </c>
      <c r="B72" s="41" t="str">
        <f aca="false">IF(Fleet!A71="","",Fleet!B71&amp;" "&amp;Fleet!C71)</f>
        <v/>
      </c>
      <c r="C72" s="42" t="str">
        <f aca="false">IF($A72="","",IF(AND(Fleet!$A$71&lt;&gt;"",N(Fleet!$E$71)&lt;=EOMONTH($B$3,0),OR(Fleet!$F$71="",N(Fleet!$F$71)&gt;=$B$3)),1,0))</f>
        <v/>
      </c>
      <c r="D72" s="43" t="str">
        <f aca="false">IF($A72="","",SUMIFS(Trips!$E$5:$E$1004,Trips!$B$5:$B$1004,$A72,Trips!$L$5:$L$1004,$B$3))</f>
        <v/>
      </c>
      <c r="E72" s="44" t="str">
        <f aca="false">IF(OR($A72="",N(C72)=0),"",D72/DAY(EOMONTH($B$3,0)))</f>
        <v/>
      </c>
      <c r="F72" s="45" t="str">
        <f aca="false">IF($A72="","",SUMIFS(Trips!$H$5:$H$1004,Trips!$B$5:$B$1004,$A72,Trips!$L$5:$L$1004,$B$3)+SUMIFS(Trips!$I$5:$I$1004,Trips!$B$5:$B$1004,$A72,Trips!$L$5:$L$1004,$B$3))</f>
        <v/>
      </c>
      <c r="G72" s="45" t="str">
        <f aca="false">IF($A72="","",SUMIFS(Trips!$J$5:$J$1004,Trips!$B$5:$B$1004,$A72,Trips!$L$5:$L$1004,$B$3)+SUMIFS(Expenses!$E$5:$E$1004,Expenses!$B$5:$B$1004,$A72,Expenses!$G$5:$G$1004,$B$3))</f>
        <v/>
      </c>
      <c r="H72" s="45" t="str">
        <f aca="false">IF($A72="","",Fleet!$O$71*C72)</f>
        <v/>
      </c>
      <c r="I72" s="45" t="str">
        <f aca="false">IF($A72="","",F72-G72-H72)</f>
        <v/>
      </c>
      <c r="J72" s="45" t="str">
        <f aca="false">IF($A72="","",(SUMIFS(Trips!$H$5:$H$1004,Trips!$B$5:$B$1004,$A72,Trips!$L$5:$L$1004,EDATE($B$3,-1))+SUMIFS(Trips!$I$5:$I$1004,Trips!$B$5:$B$1004,$A72,Trips!$L$5:$L$1004,EDATE($B$3,-1))-SUMIFS(Trips!$J$5:$J$1004,Trips!$B$5:$B$1004,$A72,Trips!$L$5:$L$1004,EDATE($B$3,-1))-SUMIFS(Expenses!$E$5:$E$1004,Expenses!$B$5:$B$1004,$A72,Expenses!$G$5:$G$1004,EDATE($B$3,-1))-Fleet!$O$71*IF(AND(Fleet!$A$71&lt;&gt;"",N(Fleet!$E$71)&lt;=EOMONTH(EDATE($B$3,-1),0),OR(Fleet!$F$71="",N(Fleet!$F$71)&gt;=EDATE($B$3,-1))),1,0)))</f>
        <v/>
      </c>
      <c r="K72" s="45" t="str">
        <f aca="false">IF($A72="","",(SUMIFS(Trips!$H$5:$H$1004,Trips!$B$5:$B$1004,$A72,Trips!$L$5:$L$1004,EDATE($B$3,-2))+SUMIFS(Trips!$I$5:$I$1004,Trips!$B$5:$B$1004,$A72,Trips!$L$5:$L$1004,EDATE($B$3,-2))-SUMIFS(Trips!$J$5:$J$1004,Trips!$B$5:$B$1004,$A72,Trips!$L$5:$L$1004,EDATE($B$3,-2))-SUMIFS(Expenses!$E$5:$E$1004,Expenses!$B$5:$B$1004,$A72,Expenses!$G$5:$G$1004,EDATE($B$3,-2))-Fleet!$O$71*IF(AND(Fleet!$A$71&lt;&gt;"",N(Fleet!$E$71)&lt;=EOMONTH(EDATE($B$3,-2),0),OR(Fleet!$F$71="",N(Fleet!$F$71)&gt;=EDATE($B$3,-2))),1,0)))</f>
        <v/>
      </c>
      <c r="L72" s="45" t="str">
        <f aca="false">IF($A72="","",SUMIFS(Trips!$M$5:$M$1004,Trips!$B$5:$B$1004,$A72,Trips!$L$5:$L$1004,"&lt;="&amp;$B$3)-SUMIFS(Expenses!$E$5:$E$1004,Expenses!$B$5:$B$1004,$A72,Expenses!$G$5:$G$1004,"&lt;="&amp;$B$3)-Fleet!$O$71*IF(N(Fleet!$E$71)=0,0,MAX(0,(YEAR(IF(Fleet!$F$71="",EOMONTH($B$3,0),MIN(Fleet!$F$71,EOMONTH($B$3,0))))-YEAR(Fleet!$E$71))*12+MONTH(IF(Fleet!$F$71="",EOMONTH($B$3,0),MIN(Fleet!$F$71,EOMONTH($B$3,0))))-MONTH(Fleet!$E$71)+1)))</f>
        <v/>
      </c>
      <c r="M72" s="46" t="str">
        <f aca="false">IF($A72="","",Fleet!$H$71)</f>
        <v/>
      </c>
      <c r="N72" s="44" t="str">
        <f aca="false">IF(OR($A72="",N(M72)=0),"",L72/M72)</f>
        <v/>
      </c>
      <c r="O72" s="2" t="str">
        <f aca="false">IF(OR($A72="",N(C72)=0),"",IF(AND(I72&lt;0,J72&lt;0,K72&lt;0),"REVIEW: 3 losing months",IF(I72&lt;Assumptions!$B$9,"Below net target",IF(E72&lt;Assumptions!$B$8,"Low utilization","On track"))))</f>
        <v/>
      </c>
    </row>
    <row r="73" customFormat="false" ht="15" hidden="false" customHeight="false" outlineLevel="0" collapsed="false">
      <c r="A73" s="41" t="str">
        <f aca="false">IF(Fleet!A72="","",Fleet!A72)</f>
        <v/>
      </c>
      <c r="B73" s="41" t="str">
        <f aca="false">IF(Fleet!A72="","",Fleet!B72&amp;" "&amp;Fleet!C72)</f>
        <v/>
      </c>
      <c r="C73" s="42" t="str">
        <f aca="false">IF($A73="","",IF(AND(Fleet!$A$72&lt;&gt;"",N(Fleet!$E$72)&lt;=EOMONTH($B$3,0),OR(Fleet!$F$72="",N(Fleet!$F$72)&gt;=$B$3)),1,0))</f>
        <v/>
      </c>
      <c r="D73" s="43" t="str">
        <f aca="false">IF($A73="","",SUMIFS(Trips!$E$5:$E$1004,Trips!$B$5:$B$1004,$A73,Trips!$L$5:$L$1004,$B$3))</f>
        <v/>
      </c>
      <c r="E73" s="44" t="str">
        <f aca="false">IF(OR($A73="",N(C73)=0),"",D73/DAY(EOMONTH($B$3,0)))</f>
        <v/>
      </c>
      <c r="F73" s="45" t="str">
        <f aca="false">IF($A73="","",SUMIFS(Trips!$H$5:$H$1004,Trips!$B$5:$B$1004,$A73,Trips!$L$5:$L$1004,$B$3)+SUMIFS(Trips!$I$5:$I$1004,Trips!$B$5:$B$1004,$A73,Trips!$L$5:$L$1004,$B$3))</f>
        <v/>
      </c>
      <c r="G73" s="45" t="str">
        <f aca="false">IF($A73="","",SUMIFS(Trips!$J$5:$J$1004,Trips!$B$5:$B$1004,$A73,Trips!$L$5:$L$1004,$B$3)+SUMIFS(Expenses!$E$5:$E$1004,Expenses!$B$5:$B$1004,$A73,Expenses!$G$5:$G$1004,$B$3))</f>
        <v/>
      </c>
      <c r="H73" s="45" t="str">
        <f aca="false">IF($A73="","",Fleet!$O$72*C73)</f>
        <v/>
      </c>
      <c r="I73" s="45" t="str">
        <f aca="false">IF($A73="","",F73-G73-H73)</f>
        <v/>
      </c>
      <c r="J73" s="45" t="str">
        <f aca="false">IF($A73="","",(SUMIFS(Trips!$H$5:$H$1004,Trips!$B$5:$B$1004,$A73,Trips!$L$5:$L$1004,EDATE($B$3,-1))+SUMIFS(Trips!$I$5:$I$1004,Trips!$B$5:$B$1004,$A73,Trips!$L$5:$L$1004,EDATE($B$3,-1))-SUMIFS(Trips!$J$5:$J$1004,Trips!$B$5:$B$1004,$A73,Trips!$L$5:$L$1004,EDATE($B$3,-1))-SUMIFS(Expenses!$E$5:$E$1004,Expenses!$B$5:$B$1004,$A73,Expenses!$G$5:$G$1004,EDATE($B$3,-1))-Fleet!$O$72*IF(AND(Fleet!$A$72&lt;&gt;"",N(Fleet!$E$72)&lt;=EOMONTH(EDATE($B$3,-1),0),OR(Fleet!$F$72="",N(Fleet!$F$72)&gt;=EDATE($B$3,-1))),1,0)))</f>
        <v/>
      </c>
      <c r="K73" s="45" t="str">
        <f aca="false">IF($A73="","",(SUMIFS(Trips!$H$5:$H$1004,Trips!$B$5:$B$1004,$A73,Trips!$L$5:$L$1004,EDATE($B$3,-2))+SUMIFS(Trips!$I$5:$I$1004,Trips!$B$5:$B$1004,$A73,Trips!$L$5:$L$1004,EDATE($B$3,-2))-SUMIFS(Trips!$J$5:$J$1004,Trips!$B$5:$B$1004,$A73,Trips!$L$5:$L$1004,EDATE($B$3,-2))-SUMIFS(Expenses!$E$5:$E$1004,Expenses!$B$5:$B$1004,$A73,Expenses!$G$5:$G$1004,EDATE($B$3,-2))-Fleet!$O$72*IF(AND(Fleet!$A$72&lt;&gt;"",N(Fleet!$E$72)&lt;=EOMONTH(EDATE($B$3,-2),0),OR(Fleet!$F$72="",N(Fleet!$F$72)&gt;=EDATE($B$3,-2))),1,0)))</f>
        <v/>
      </c>
      <c r="L73" s="45" t="str">
        <f aca="false">IF($A73="","",SUMIFS(Trips!$M$5:$M$1004,Trips!$B$5:$B$1004,$A73,Trips!$L$5:$L$1004,"&lt;="&amp;$B$3)-SUMIFS(Expenses!$E$5:$E$1004,Expenses!$B$5:$B$1004,$A73,Expenses!$G$5:$G$1004,"&lt;="&amp;$B$3)-Fleet!$O$72*IF(N(Fleet!$E$72)=0,0,MAX(0,(YEAR(IF(Fleet!$F$72="",EOMONTH($B$3,0),MIN(Fleet!$F$72,EOMONTH($B$3,0))))-YEAR(Fleet!$E$72))*12+MONTH(IF(Fleet!$F$72="",EOMONTH($B$3,0),MIN(Fleet!$F$72,EOMONTH($B$3,0))))-MONTH(Fleet!$E$72)+1)))</f>
        <v/>
      </c>
      <c r="M73" s="46" t="str">
        <f aca="false">IF($A73="","",Fleet!$H$72)</f>
        <v/>
      </c>
      <c r="N73" s="44" t="str">
        <f aca="false">IF(OR($A73="",N(M73)=0),"",L73/M73)</f>
        <v/>
      </c>
      <c r="O73" s="2" t="str">
        <f aca="false">IF(OR($A73="",N(C73)=0),"",IF(AND(I73&lt;0,J73&lt;0,K73&lt;0),"REVIEW: 3 losing months",IF(I73&lt;Assumptions!$B$9,"Below net target",IF(E73&lt;Assumptions!$B$8,"Low utilization","On track"))))</f>
        <v/>
      </c>
    </row>
    <row r="74" customFormat="false" ht="15" hidden="false" customHeight="false" outlineLevel="0" collapsed="false">
      <c r="A74" s="41" t="str">
        <f aca="false">IF(Fleet!A73="","",Fleet!A73)</f>
        <v/>
      </c>
      <c r="B74" s="41" t="str">
        <f aca="false">IF(Fleet!A73="","",Fleet!B73&amp;" "&amp;Fleet!C73)</f>
        <v/>
      </c>
      <c r="C74" s="42" t="str">
        <f aca="false">IF($A74="","",IF(AND(Fleet!$A$73&lt;&gt;"",N(Fleet!$E$73)&lt;=EOMONTH($B$3,0),OR(Fleet!$F$73="",N(Fleet!$F$73)&gt;=$B$3)),1,0))</f>
        <v/>
      </c>
      <c r="D74" s="43" t="str">
        <f aca="false">IF($A74="","",SUMIFS(Trips!$E$5:$E$1004,Trips!$B$5:$B$1004,$A74,Trips!$L$5:$L$1004,$B$3))</f>
        <v/>
      </c>
      <c r="E74" s="44" t="str">
        <f aca="false">IF(OR($A74="",N(C74)=0),"",D74/DAY(EOMONTH($B$3,0)))</f>
        <v/>
      </c>
      <c r="F74" s="45" t="str">
        <f aca="false">IF($A74="","",SUMIFS(Trips!$H$5:$H$1004,Trips!$B$5:$B$1004,$A74,Trips!$L$5:$L$1004,$B$3)+SUMIFS(Trips!$I$5:$I$1004,Trips!$B$5:$B$1004,$A74,Trips!$L$5:$L$1004,$B$3))</f>
        <v/>
      </c>
      <c r="G74" s="45" t="str">
        <f aca="false">IF($A74="","",SUMIFS(Trips!$J$5:$J$1004,Trips!$B$5:$B$1004,$A74,Trips!$L$5:$L$1004,$B$3)+SUMIFS(Expenses!$E$5:$E$1004,Expenses!$B$5:$B$1004,$A74,Expenses!$G$5:$G$1004,$B$3))</f>
        <v/>
      </c>
      <c r="H74" s="45" t="str">
        <f aca="false">IF($A74="","",Fleet!$O$73*C74)</f>
        <v/>
      </c>
      <c r="I74" s="45" t="str">
        <f aca="false">IF($A74="","",F74-G74-H74)</f>
        <v/>
      </c>
      <c r="J74" s="45" t="str">
        <f aca="false">IF($A74="","",(SUMIFS(Trips!$H$5:$H$1004,Trips!$B$5:$B$1004,$A74,Trips!$L$5:$L$1004,EDATE($B$3,-1))+SUMIFS(Trips!$I$5:$I$1004,Trips!$B$5:$B$1004,$A74,Trips!$L$5:$L$1004,EDATE($B$3,-1))-SUMIFS(Trips!$J$5:$J$1004,Trips!$B$5:$B$1004,$A74,Trips!$L$5:$L$1004,EDATE($B$3,-1))-SUMIFS(Expenses!$E$5:$E$1004,Expenses!$B$5:$B$1004,$A74,Expenses!$G$5:$G$1004,EDATE($B$3,-1))-Fleet!$O$73*IF(AND(Fleet!$A$73&lt;&gt;"",N(Fleet!$E$73)&lt;=EOMONTH(EDATE($B$3,-1),0),OR(Fleet!$F$73="",N(Fleet!$F$73)&gt;=EDATE($B$3,-1))),1,0)))</f>
        <v/>
      </c>
      <c r="K74" s="45" t="str">
        <f aca="false">IF($A74="","",(SUMIFS(Trips!$H$5:$H$1004,Trips!$B$5:$B$1004,$A74,Trips!$L$5:$L$1004,EDATE($B$3,-2))+SUMIFS(Trips!$I$5:$I$1004,Trips!$B$5:$B$1004,$A74,Trips!$L$5:$L$1004,EDATE($B$3,-2))-SUMIFS(Trips!$J$5:$J$1004,Trips!$B$5:$B$1004,$A74,Trips!$L$5:$L$1004,EDATE($B$3,-2))-SUMIFS(Expenses!$E$5:$E$1004,Expenses!$B$5:$B$1004,$A74,Expenses!$G$5:$G$1004,EDATE($B$3,-2))-Fleet!$O$73*IF(AND(Fleet!$A$73&lt;&gt;"",N(Fleet!$E$73)&lt;=EOMONTH(EDATE($B$3,-2),0),OR(Fleet!$F$73="",N(Fleet!$F$73)&gt;=EDATE($B$3,-2))),1,0)))</f>
        <v/>
      </c>
      <c r="L74" s="45" t="str">
        <f aca="false">IF($A74="","",SUMIFS(Trips!$M$5:$M$1004,Trips!$B$5:$B$1004,$A74,Trips!$L$5:$L$1004,"&lt;="&amp;$B$3)-SUMIFS(Expenses!$E$5:$E$1004,Expenses!$B$5:$B$1004,$A74,Expenses!$G$5:$G$1004,"&lt;="&amp;$B$3)-Fleet!$O$73*IF(N(Fleet!$E$73)=0,0,MAX(0,(YEAR(IF(Fleet!$F$73="",EOMONTH($B$3,0),MIN(Fleet!$F$73,EOMONTH($B$3,0))))-YEAR(Fleet!$E$73))*12+MONTH(IF(Fleet!$F$73="",EOMONTH($B$3,0),MIN(Fleet!$F$73,EOMONTH($B$3,0))))-MONTH(Fleet!$E$73)+1)))</f>
        <v/>
      </c>
      <c r="M74" s="46" t="str">
        <f aca="false">IF($A74="","",Fleet!$H$73)</f>
        <v/>
      </c>
      <c r="N74" s="44" t="str">
        <f aca="false">IF(OR($A74="",N(M74)=0),"",L74/M74)</f>
        <v/>
      </c>
      <c r="O74" s="2" t="str">
        <f aca="false">IF(OR($A74="",N(C74)=0),"",IF(AND(I74&lt;0,J74&lt;0,K74&lt;0),"REVIEW: 3 losing months",IF(I74&lt;Assumptions!$B$9,"Below net target",IF(E74&lt;Assumptions!$B$8,"Low utilization","On track"))))</f>
        <v/>
      </c>
    </row>
    <row r="75" customFormat="false" ht="15" hidden="false" customHeight="false" outlineLevel="0" collapsed="false">
      <c r="A75" s="41" t="str">
        <f aca="false">IF(Fleet!A74="","",Fleet!A74)</f>
        <v/>
      </c>
      <c r="B75" s="41" t="str">
        <f aca="false">IF(Fleet!A74="","",Fleet!B74&amp;" "&amp;Fleet!C74)</f>
        <v/>
      </c>
      <c r="C75" s="42" t="str">
        <f aca="false">IF($A75="","",IF(AND(Fleet!$A$74&lt;&gt;"",N(Fleet!$E$74)&lt;=EOMONTH($B$3,0),OR(Fleet!$F$74="",N(Fleet!$F$74)&gt;=$B$3)),1,0))</f>
        <v/>
      </c>
      <c r="D75" s="43" t="str">
        <f aca="false">IF($A75="","",SUMIFS(Trips!$E$5:$E$1004,Trips!$B$5:$B$1004,$A75,Trips!$L$5:$L$1004,$B$3))</f>
        <v/>
      </c>
      <c r="E75" s="44" t="str">
        <f aca="false">IF(OR($A75="",N(C75)=0),"",D75/DAY(EOMONTH($B$3,0)))</f>
        <v/>
      </c>
      <c r="F75" s="45" t="str">
        <f aca="false">IF($A75="","",SUMIFS(Trips!$H$5:$H$1004,Trips!$B$5:$B$1004,$A75,Trips!$L$5:$L$1004,$B$3)+SUMIFS(Trips!$I$5:$I$1004,Trips!$B$5:$B$1004,$A75,Trips!$L$5:$L$1004,$B$3))</f>
        <v/>
      </c>
      <c r="G75" s="45" t="str">
        <f aca="false">IF($A75="","",SUMIFS(Trips!$J$5:$J$1004,Trips!$B$5:$B$1004,$A75,Trips!$L$5:$L$1004,$B$3)+SUMIFS(Expenses!$E$5:$E$1004,Expenses!$B$5:$B$1004,$A75,Expenses!$G$5:$G$1004,$B$3))</f>
        <v/>
      </c>
      <c r="H75" s="45" t="str">
        <f aca="false">IF($A75="","",Fleet!$O$74*C75)</f>
        <v/>
      </c>
      <c r="I75" s="45" t="str">
        <f aca="false">IF($A75="","",F75-G75-H75)</f>
        <v/>
      </c>
      <c r="J75" s="45" t="str">
        <f aca="false">IF($A75="","",(SUMIFS(Trips!$H$5:$H$1004,Trips!$B$5:$B$1004,$A75,Trips!$L$5:$L$1004,EDATE($B$3,-1))+SUMIFS(Trips!$I$5:$I$1004,Trips!$B$5:$B$1004,$A75,Trips!$L$5:$L$1004,EDATE($B$3,-1))-SUMIFS(Trips!$J$5:$J$1004,Trips!$B$5:$B$1004,$A75,Trips!$L$5:$L$1004,EDATE($B$3,-1))-SUMIFS(Expenses!$E$5:$E$1004,Expenses!$B$5:$B$1004,$A75,Expenses!$G$5:$G$1004,EDATE($B$3,-1))-Fleet!$O$74*IF(AND(Fleet!$A$74&lt;&gt;"",N(Fleet!$E$74)&lt;=EOMONTH(EDATE($B$3,-1),0),OR(Fleet!$F$74="",N(Fleet!$F$74)&gt;=EDATE($B$3,-1))),1,0)))</f>
        <v/>
      </c>
      <c r="K75" s="45" t="str">
        <f aca="false">IF($A75="","",(SUMIFS(Trips!$H$5:$H$1004,Trips!$B$5:$B$1004,$A75,Trips!$L$5:$L$1004,EDATE($B$3,-2))+SUMIFS(Trips!$I$5:$I$1004,Trips!$B$5:$B$1004,$A75,Trips!$L$5:$L$1004,EDATE($B$3,-2))-SUMIFS(Trips!$J$5:$J$1004,Trips!$B$5:$B$1004,$A75,Trips!$L$5:$L$1004,EDATE($B$3,-2))-SUMIFS(Expenses!$E$5:$E$1004,Expenses!$B$5:$B$1004,$A75,Expenses!$G$5:$G$1004,EDATE($B$3,-2))-Fleet!$O$74*IF(AND(Fleet!$A$74&lt;&gt;"",N(Fleet!$E$74)&lt;=EOMONTH(EDATE($B$3,-2),0),OR(Fleet!$F$74="",N(Fleet!$F$74)&gt;=EDATE($B$3,-2))),1,0)))</f>
        <v/>
      </c>
      <c r="L75" s="45" t="str">
        <f aca="false">IF($A75="","",SUMIFS(Trips!$M$5:$M$1004,Trips!$B$5:$B$1004,$A75,Trips!$L$5:$L$1004,"&lt;="&amp;$B$3)-SUMIFS(Expenses!$E$5:$E$1004,Expenses!$B$5:$B$1004,$A75,Expenses!$G$5:$G$1004,"&lt;="&amp;$B$3)-Fleet!$O$74*IF(N(Fleet!$E$74)=0,0,MAX(0,(YEAR(IF(Fleet!$F$74="",EOMONTH($B$3,0),MIN(Fleet!$F$74,EOMONTH($B$3,0))))-YEAR(Fleet!$E$74))*12+MONTH(IF(Fleet!$F$74="",EOMONTH($B$3,0),MIN(Fleet!$F$74,EOMONTH($B$3,0))))-MONTH(Fleet!$E$74)+1)))</f>
        <v/>
      </c>
      <c r="M75" s="46" t="str">
        <f aca="false">IF($A75="","",Fleet!$H$74)</f>
        <v/>
      </c>
      <c r="N75" s="44" t="str">
        <f aca="false">IF(OR($A75="",N(M75)=0),"",L75/M75)</f>
        <v/>
      </c>
      <c r="O75" s="2" t="str">
        <f aca="false">IF(OR($A75="",N(C75)=0),"",IF(AND(I75&lt;0,J75&lt;0,K75&lt;0),"REVIEW: 3 losing months",IF(I75&lt;Assumptions!$B$9,"Below net target",IF(E75&lt;Assumptions!$B$8,"Low utilization","On track"))))</f>
        <v/>
      </c>
    </row>
    <row r="76" customFormat="false" ht="15" hidden="false" customHeight="false" outlineLevel="0" collapsed="false">
      <c r="A76" s="41" t="str">
        <f aca="false">IF(Fleet!A75="","",Fleet!A75)</f>
        <v/>
      </c>
      <c r="B76" s="41" t="str">
        <f aca="false">IF(Fleet!A75="","",Fleet!B75&amp;" "&amp;Fleet!C75)</f>
        <v/>
      </c>
      <c r="C76" s="42" t="str">
        <f aca="false">IF($A76="","",IF(AND(Fleet!$A$75&lt;&gt;"",N(Fleet!$E$75)&lt;=EOMONTH($B$3,0),OR(Fleet!$F$75="",N(Fleet!$F$75)&gt;=$B$3)),1,0))</f>
        <v/>
      </c>
      <c r="D76" s="43" t="str">
        <f aca="false">IF($A76="","",SUMIFS(Trips!$E$5:$E$1004,Trips!$B$5:$B$1004,$A76,Trips!$L$5:$L$1004,$B$3))</f>
        <v/>
      </c>
      <c r="E76" s="44" t="str">
        <f aca="false">IF(OR($A76="",N(C76)=0),"",D76/DAY(EOMONTH($B$3,0)))</f>
        <v/>
      </c>
      <c r="F76" s="45" t="str">
        <f aca="false">IF($A76="","",SUMIFS(Trips!$H$5:$H$1004,Trips!$B$5:$B$1004,$A76,Trips!$L$5:$L$1004,$B$3)+SUMIFS(Trips!$I$5:$I$1004,Trips!$B$5:$B$1004,$A76,Trips!$L$5:$L$1004,$B$3))</f>
        <v/>
      </c>
      <c r="G76" s="45" t="str">
        <f aca="false">IF($A76="","",SUMIFS(Trips!$J$5:$J$1004,Trips!$B$5:$B$1004,$A76,Trips!$L$5:$L$1004,$B$3)+SUMIFS(Expenses!$E$5:$E$1004,Expenses!$B$5:$B$1004,$A76,Expenses!$G$5:$G$1004,$B$3))</f>
        <v/>
      </c>
      <c r="H76" s="45" t="str">
        <f aca="false">IF($A76="","",Fleet!$O$75*C76)</f>
        <v/>
      </c>
      <c r="I76" s="45" t="str">
        <f aca="false">IF($A76="","",F76-G76-H76)</f>
        <v/>
      </c>
      <c r="J76" s="45" t="str">
        <f aca="false">IF($A76="","",(SUMIFS(Trips!$H$5:$H$1004,Trips!$B$5:$B$1004,$A76,Trips!$L$5:$L$1004,EDATE($B$3,-1))+SUMIFS(Trips!$I$5:$I$1004,Trips!$B$5:$B$1004,$A76,Trips!$L$5:$L$1004,EDATE($B$3,-1))-SUMIFS(Trips!$J$5:$J$1004,Trips!$B$5:$B$1004,$A76,Trips!$L$5:$L$1004,EDATE($B$3,-1))-SUMIFS(Expenses!$E$5:$E$1004,Expenses!$B$5:$B$1004,$A76,Expenses!$G$5:$G$1004,EDATE($B$3,-1))-Fleet!$O$75*IF(AND(Fleet!$A$75&lt;&gt;"",N(Fleet!$E$75)&lt;=EOMONTH(EDATE($B$3,-1),0),OR(Fleet!$F$75="",N(Fleet!$F$75)&gt;=EDATE($B$3,-1))),1,0)))</f>
        <v/>
      </c>
      <c r="K76" s="45" t="str">
        <f aca="false">IF($A76="","",(SUMIFS(Trips!$H$5:$H$1004,Trips!$B$5:$B$1004,$A76,Trips!$L$5:$L$1004,EDATE($B$3,-2))+SUMIFS(Trips!$I$5:$I$1004,Trips!$B$5:$B$1004,$A76,Trips!$L$5:$L$1004,EDATE($B$3,-2))-SUMIFS(Trips!$J$5:$J$1004,Trips!$B$5:$B$1004,$A76,Trips!$L$5:$L$1004,EDATE($B$3,-2))-SUMIFS(Expenses!$E$5:$E$1004,Expenses!$B$5:$B$1004,$A76,Expenses!$G$5:$G$1004,EDATE($B$3,-2))-Fleet!$O$75*IF(AND(Fleet!$A$75&lt;&gt;"",N(Fleet!$E$75)&lt;=EOMONTH(EDATE($B$3,-2),0),OR(Fleet!$F$75="",N(Fleet!$F$75)&gt;=EDATE($B$3,-2))),1,0)))</f>
        <v/>
      </c>
      <c r="L76" s="45" t="str">
        <f aca="false">IF($A76="","",SUMIFS(Trips!$M$5:$M$1004,Trips!$B$5:$B$1004,$A76,Trips!$L$5:$L$1004,"&lt;="&amp;$B$3)-SUMIFS(Expenses!$E$5:$E$1004,Expenses!$B$5:$B$1004,$A76,Expenses!$G$5:$G$1004,"&lt;="&amp;$B$3)-Fleet!$O$75*IF(N(Fleet!$E$75)=0,0,MAX(0,(YEAR(IF(Fleet!$F$75="",EOMONTH($B$3,0),MIN(Fleet!$F$75,EOMONTH($B$3,0))))-YEAR(Fleet!$E$75))*12+MONTH(IF(Fleet!$F$75="",EOMONTH($B$3,0),MIN(Fleet!$F$75,EOMONTH($B$3,0))))-MONTH(Fleet!$E$75)+1)))</f>
        <v/>
      </c>
      <c r="M76" s="46" t="str">
        <f aca="false">IF($A76="","",Fleet!$H$75)</f>
        <v/>
      </c>
      <c r="N76" s="44" t="str">
        <f aca="false">IF(OR($A76="",N(M76)=0),"",L76/M76)</f>
        <v/>
      </c>
      <c r="O76" s="2" t="str">
        <f aca="false">IF(OR($A76="",N(C76)=0),"",IF(AND(I76&lt;0,J76&lt;0,K76&lt;0),"REVIEW: 3 losing months",IF(I76&lt;Assumptions!$B$9,"Below net target",IF(E76&lt;Assumptions!$B$8,"Low utilization","On track"))))</f>
        <v/>
      </c>
    </row>
    <row r="77" customFormat="false" ht="15" hidden="false" customHeight="false" outlineLevel="0" collapsed="false">
      <c r="A77" s="41" t="str">
        <f aca="false">IF(Fleet!A76="","",Fleet!A76)</f>
        <v/>
      </c>
      <c r="B77" s="41" t="str">
        <f aca="false">IF(Fleet!A76="","",Fleet!B76&amp;" "&amp;Fleet!C76)</f>
        <v/>
      </c>
      <c r="C77" s="42" t="str">
        <f aca="false">IF($A77="","",IF(AND(Fleet!$A$76&lt;&gt;"",N(Fleet!$E$76)&lt;=EOMONTH($B$3,0),OR(Fleet!$F$76="",N(Fleet!$F$76)&gt;=$B$3)),1,0))</f>
        <v/>
      </c>
      <c r="D77" s="43" t="str">
        <f aca="false">IF($A77="","",SUMIFS(Trips!$E$5:$E$1004,Trips!$B$5:$B$1004,$A77,Trips!$L$5:$L$1004,$B$3))</f>
        <v/>
      </c>
      <c r="E77" s="44" t="str">
        <f aca="false">IF(OR($A77="",N(C77)=0),"",D77/DAY(EOMONTH($B$3,0)))</f>
        <v/>
      </c>
      <c r="F77" s="45" t="str">
        <f aca="false">IF($A77="","",SUMIFS(Trips!$H$5:$H$1004,Trips!$B$5:$B$1004,$A77,Trips!$L$5:$L$1004,$B$3)+SUMIFS(Trips!$I$5:$I$1004,Trips!$B$5:$B$1004,$A77,Trips!$L$5:$L$1004,$B$3))</f>
        <v/>
      </c>
      <c r="G77" s="45" t="str">
        <f aca="false">IF($A77="","",SUMIFS(Trips!$J$5:$J$1004,Trips!$B$5:$B$1004,$A77,Trips!$L$5:$L$1004,$B$3)+SUMIFS(Expenses!$E$5:$E$1004,Expenses!$B$5:$B$1004,$A77,Expenses!$G$5:$G$1004,$B$3))</f>
        <v/>
      </c>
      <c r="H77" s="45" t="str">
        <f aca="false">IF($A77="","",Fleet!$O$76*C77)</f>
        <v/>
      </c>
      <c r="I77" s="45" t="str">
        <f aca="false">IF($A77="","",F77-G77-H77)</f>
        <v/>
      </c>
      <c r="J77" s="45" t="str">
        <f aca="false">IF($A77="","",(SUMIFS(Trips!$H$5:$H$1004,Trips!$B$5:$B$1004,$A77,Trips!$L$5:$L$1004,EDATE($B$3,-1))+SUMIFS(Trips!$I$5:$I$1004,Trips!$B$5:$B$1004,$A77,Trips!$L$5:$L$1004,EDATE($B$3,-1))-SUMIFS(Trips!$J$5:$J$1004,Trips!$B$5:$B$1004,$A77,Trips!$L$5:$L$1004,EDATE($B$3,-1))-SUMIFS(Expenses!$E$5:$E$1004,Expenses!$B$5:$B$1004,$A77,Expenses!$G$5:$G$1004,EDATE($B$3,-1))-Fleet!$O$76*IF(AND(Fleet!$A$76&lt;&gt;"",N(Fleet!$E$76)&lt;=EOMONTH(EDATE($B$3,-1),0),OR(Fleet!$F$76="",N(Fleet!$F$76)&gt;=EDATE($B$3,-1))),1,0)))</f>
        <v/>
      </c>
      <c r="K77" s="45" t="str">
        <f aca="false">IF($A77="","",(SUMIFS(Trips!$H$5:$H$1004,Trips!$B$5:$B$1004,$A77,Trips!$L$5:$L$1004,EDATE($B$3,-2))+SUMIFS(Trips!$I$5:$I$1004,Trips!$B$5:$B$1004,$A77,Trips!$L$5:$L$1004,EDATE($B$3,-2))-SUMIFS(Trips!$J$5:$J$1004,Trips!$B$5:$B$1004,$A77,Trips!$L$5:$L$1004,EDATE($B$3,-2))-SUMIFS(Expenses!$E$5:$E$1004,Expenses!$B$5:$B$1004,$A77,Expenses!$G$5:$G$1004,EDATE($B$3,-2))-Fleet!$O$76*IF(AND(Fleet!$A$76&lt;&gt;"",N(Fleet!$E$76)&lt;=EOMONTH(EDATE($B$3,-2),0),OR(Fleet!$F$76="",N(Fleet!$F$76)&gt;=EDATE($B$3,-2))),1,0)))</f>
        <v/>
      </c>
      <c r="L77" s="45" t="str">
        <f aca="false">IF($A77="","",SUMIFS(Trips!$M$5:$M$1004,Trips!$B$5:$B$1004,$A77,Trips!$L$5:$L$1004,"&lt;="&amp;$B$3)-SUMIFS(Expenses!$E$5:$E$1004,Expenses!$B$5:$B$1004,$A77,Expenses!$G$5:$G$1004,"&lt;="&amp;$B$3)-Fleet!$O$76*IF(N(Fleet!$E$76)=0,0,MAX(0,(YEAR(IF(Fleet!$F$76="",EOMONTH($B$3,0),MIN(Fleet!$F$76,EOMONTH($B$3,0))))-YEAR(Fleet!$E$76))*12+MONTH(IF(Fleet!$F$76="",EOMONTH($B$3,0),MIN(Fleet!$F$76,EOMONTH($B$3,0))))-MONTH(Fleet!$E$76)+1)))</f>
        <v/>
      </c>
      <c r="M77" s="46" t="str">
        <f aca="false">IF($A77="","",Fleet!$H$76)</f>
        <v/>
      </c>
      <c r="N77" s="44" t="str">
        <f aca="false">IF(OR($A77="",N(M77)=0),"",L77/M77)</f>
        <v/>
      </c>
      <c r="O77" s="2" t="str">
        <f aca="false">IF(OR($A77="",N(C77)=0),"",IF(AND(I77&lt;0,J77&lt;0,K77&lt;0),"REVIEW: 3 losing months",IF(I77&lt;Assumptions!$B$9,"Below net target",IF(E77&lt;Assumptions!$B$8,"Low utilization","On track"))))</f>
        <v/>
      </c>
    </row>
    <row r="78" customFormat="false" ht="15" hidden="false" customHeight="false" outlineLevel="0" collapsed="false">
      <c r="A78" s="41" t="str">
        <f aca="false">IF(Fleet!A77="","",Fleet!A77)</f>
        <v/>
      </c>
      <c r="B78" s="41" t="str">
        <f aca="false">IF(Fleet!A77="","",Fleet!B77&amp;" "&amp;Fleet!C77)</f>
        <v/>
      </c>
      <c r="C78" s="42" t="str">
        <f aca="false">IF($A78="","",IF(AND(Fleet!$A$77&lt;&gt;"",N(Fleet!$E$77)&lt;=EOMONTH($B$3,0),OR(Fleet!$F$77="",N(Fleet!$F$77)&gt;=$B$3)),1,0))</f>
        <v/>
      </c>
      <c r="D78" s="43" t="str">
        <f aca="false">IF($A78="","",SUMIFS(Trips!$E$5:$E$1004,Trips!$B$5:$B$1004,$A78,Trips!$L$5:$L$1004,$B$3))</f>
        <v/>
      </c>
      <c r="E78" s="44" t="str">
        <f aca="false">IF(OR($A78="",N(C78)=0),"",D78/DAY(EOMONTH($B$3,0)))</f>
        <v/>
      </c>
      <c r="F78" s="45" t="str">
        <f aca="false">IF($A78="","",SUMIFS(Trips!$H$5:$H$1004,Trips!$B$5:$B$1004,$A78,Trips!$L$5:$L$1004,$B$3)+SUMIFS(Trips!$I$5:$I$1004,Trips!$B$5:$B$1004,$A78,Trips!$L$5:$L$1004,$B$3))</f>
        <v/>
      </c>
      <c r="G78" s="45" t="str">
        <f aca="false">IF($A78="","",SUMIFS(Trips!$J$5:$J$1004,Trips!$B$5:$B$1004,$A78,Trips!$L$5:$L$1004,$B$3)+SUMIFS(Expenses!$E$5:$E$1004,Expenses!$B$5:$B$1004,$A78,Expenses!$G$5:$G$1004,$B$3))</f>
        <v/>
      </c>
      <c r="H78" s="45" t="str">
        <f aca="false">IF($A78="","",Fleet!$O$77*C78)</f>
        <v/>
      </c>
      <c r="I78" s="45" t="str">
        <f aca="false">IF($A78="","",F78-G78-H78)</f>
        <v/>
      </c>
      <c r="J78" s="45" t="str">
        <f aca="false">IF($A78="","",(SUMIFS(Trips!$H$5:$H$1004,Trips!$B$5:$B$1004,$A78,Trips!$L$5:$L$1004,EDATE($B$3,-1))+SUMIFS(Trips!$I$5:$I$1004,Trips!$B$5:$B$1004,$A78,Trips!$L$5:$L$1004,EDATE($B$3,-1))-SUMIFS(Trips!$J$5:$J$1004,Trips!$B$5:$B$1004,$A78,Trips!$L$5:$L$1004,EDATE($B$3,-1))-SUMIFS(Expenses!$E$5:$E$1004,Expenses!$B$5:$B$1004,$A78,Expenses!$G$5:$G$1004,EDATE($B$3,-1))-Fleet!$O$77*IF(AND(Fleet!$A$77&lt;&gt;"",N(Fleet!$E$77)&lt;=EOMONTH(EDATE($B$3,-1),0),OR(Fleet!$F$77="",N(Fleet!$F$77)&gt;=EDATE($B$3,-1))),1,0)))</f>
        <v/>
      </c>
      <c r="K78" s="45" t="str">
        <f aca="false">IF($A78="","",(SUMIFS(Trips!$H$5:$H$1004,Trips!$B$5:$B$1004,$A78,Trips!$L$5:$L$1004,EDATE($B$3,-2))+SUMIFS(Trips!$I$5:$I$1004,Trips!$B$5:$B$1004,$A78,Trips!$L$5:$L$1004,EDATE($B$3,-2))-SUMIFS(Trips!$J$5:$J$1004,Trips!$B$5:$B$1004,$A78,Trips!$L$5:$L$1004,EDATE($B$3,-2))-SUMIFS(Expenses!$E$5:$E$1004,Expenses!$B$5:$B$1004,$A78,Expenses!$G$5:$G$1004,EDATE($B$3,-2))-Fleet!$O$77*IF(AND(Fleet!$A$77&lt;&gt;"",N(Fleet!$E$77)&lt;=EOMONTH(EDATE($B$3,-2),0),OR(Fleet!$F$77="",N(Fleet!$F$77)&gt;=EDATE($B$3,-2))),1,0)))</f>
        <v/>
      </c>
      <c r="L78" s="45" t="str">
        <f aca="false">IF($A78="","",SUMIFS(Trips!$M$5:$M$1004,Trips!$B$5:$B$1004,$A78,Trips!$L$5:$L$1004,"&lt;="&amp;$B$3)-SUMIFS(Expenses!$E$5:$E$1004,Expenses!$B$5:$B$1004,$A78,Expenses!$G$5:$G$1004,"&lt;="&amp;$B$3)-Fleet!$O$77*IF(N(Fleet!$E$77)=0,0,MAX(0,(YEAR(IF(Fleet!$F$77="",EOMONTH($B$3,0),MIN(Fleet!$F$77,EOMONTH($B$3,0))))-YEAR(Fleet!$E$77))*12+MONTH(IF(Fleet!$F$77="",EOMONTH($B$3,0),MIN(Fleet!$F$77,EOMONTH($B$3,0))))-MONTH(Fleet!$E$77)+1)))</f>
        <v/>
      </c>
      <c r="M78" s="46" t="str">
        <f aca="false">IF($A78="","",Fleet!$H$77)</f>
        <v/>
      </c>
      <c r="N78" s="44" t="str">
        <f aca="false">IF(OR($A78="",N(M78)=0),"",L78/M78)</f>
        <v/>
      </c>
      <c r="O78" s="2" t="str">
        <f aca="false">IF(OR($A78="",N(C78)=0),"",IF(AND(I78&lt;0,J78&lt;0,K78&lt;0),"REVIEW: 3 losing months",IF(I78&lt;Assumptions!$B$9,"Below net target",IF(E78&lt;Assumptions!$B$8,"Low utilization","On track"))))</f>
        <v/>
      </c>
    </row>
    <row r="79" customFormat="false" ht="15" hidden="false" customHeight="false" outlineLevel="0" collapsed="false">
      <c r="A79" s="41" t="str">
        <f aca="false">IF(Fleet!A78="","",Fleet!A78)</f>
        <v/>
      </c>
      <c r="B79" s="41" t="str">
        <f aca="false">IF(Fleet!A78="","",Fleet!B78&amp;" "&amp;Fleet!C78)</f>
        <v/>
      </c>
      <c r="C79" s="42" t="str">
        <f aca="false">IF($A79="","",IF(AND(Fleet!$A$78&lt;&gt;"",N(Fleet!$E$78)&lt;=EOMONTH($B$3,0),OR(Fleet!$F$78="",N(Fleet!$F$78)&gt;=$B$3)),1,0))</f>
        <v/>
      </c>
      <c r="D79" s="43" t="str">
        <f aca="false">IF($A79="","",SUMIFS(Trips!$E$5:$E$1004,Trips!$B$5:$B$1004,$A79,Trips!$L$5:$L$1004,$B$3))</f>
        <v/>
      </c>
      <c r="E79" s="44" t="str">
        <f aca="false">IF(OR($A79="",N(C79)=0),"",D79/DAY(EOMONTH($B$3,0)))</f>
        <v/>
      </c>
      <c r="F79" s="45" t="str">
        <f aca="false">IF($A79="","",SUMIFS(Trips!$H$5:$H$1004,Trips!$B$5:$B$1004,$A79,Trips!$L$5:$L$1004,$B$3)+SUMIFS(Trips!$I$5:$I$1004,Trips!$B$5:$B$1004,$A79,Trips!$L$5:$L$1004,$B$3))</f>
        <v/>
      </c>
      <c r="G79" s="45" t="str">
        <f aca="false">IF($A79="","",SUMIFS(Trips!$J$5:$J$1004,Trips!$B$5:$B$1004,$A79,Trips!$L$5:$L$1004,$B$3)+SUMIFS(Expenses!$E$5:$E$1004,Expenses!$B$5:$B$1004,$A79,Expenses!$G$5:$G$1004,$B$3))</f>
        <v/>
      </c>
      <c r="H79" s="45" t="str">
        <f aca="false">IF($A79="","",Fleet!$O$78*C79)</f>
        <v/>
      </c>
      <c r="I79" s="45" t="str">
        <f aca="false">IF($A79="","",F79-G79-H79)</f>
        <v/>
      </c>
      <c r="J79" s="45" t="str">
        <f aca="false">IF($A79="","",(SUMIFS(Trips!$H$5:$H$1004,Trips!$B$5:$B$1004,$A79,Trips!$L$5:$L$1004,EDATE($B$3,-1))+SUMIFS(Trips!$I$5:$I$1004,Trips!$B$5:$B$1004,$A79,Trips!$L$5:$L$1004,EDATE($B$3,-1))-SUMIFS(Trips!$J$5:$J$1004,Trips!$B$5:$B$1004,$A79,Trips!$L$5:$L$1004,EDATE($B$3,-1))-SUMIFS(Expenses!$E$5:$E$1004,Expenses!$B$5:$B$1004,$A79,Expenses!$G$5:$G$1004,EDATE($B$3,-1))-Fleet!$O$78*IF(AND(Fleet!$A$78&lt;&gt;"",N(Fleet!$E$78)&lt;=EOMONTH(EDATE($B$3,-1),0),OR(Fleet!$F$78="",N(Fleet!$F$78)&gt;=EDATE($B$3,-1))),1,0)))</f>
        <v/>
      </c>
      <c r="K79" s="45" t="str">
        <f aca="false">IF($A79="","",(SUMIFS(Trips!$H$5:$H$1004,Trips!$B$5:$B$1004,$A79,Trips!$L$5:$L$1004,EDATE($B$3,-2))+SUMIFS(Trips!$I$5:$I$1004,Trips!$B$5:$B$1004,$A79,Trips!$L$5:$L$1004,EDATE($B$3,-2))-SUMIFS(Trips!$J$5:$J$1004,Trips!$B$5:$B$1004,$A79,Trips!$L$5:$L$1004,EDATE($B$3,-2))-SUMIFS(Expenses!$E$5:$E$1004,Expenses!$B$5:$B$1004,$A79,Expenses!$G$5:$G$1004,EDATE($B$3,-2))-Fleet!$O$78*IF(AND(Fleet!$A$78&lt;&gt;"",N(Fleet!$E$78)&lt;=EOMONTH(EDATE($B$3,-2),0),OR(Fleet!$F$78="",N(Fleet!$F$78)&gt;=EDATE($B$3,-2))),1,0)))</f>
        <v/>
      </c>
      <c r="L79" s="45" t="str">
        <f aca="false">IF($A79="","",SUMIFS(Trips!$M$5:$M$1004,Trips!$B$5:$B$1004,$A79,Trips!$L$5:$L$1004,"&lt;="&amp;$B$3)-SUMIFS(Expenses!$E$5:$E$1004,Expenses!$B$5:$B$1004,$A79,Expenses!$G$5:$G$1004,"&lt;="&amp;$B$3)-Fleet!$O$78*IF(N(Fleet!$E$78)=0,0,MAX(0,(YEAR(IF(Fleet!$F$78="",EOMONTH($B$3,0),MIN(Fleet!$F$78,EOMONTH($B$3,0))))-YEAR(Fleet!$E$78))*12+MONTH(IF(Fleet!$F$78="",EOMONTH($B$3,0),MIN(Fleet!$F$78,EOMONTH($B$3,0))))-MONTH(Fleet!$E$78)+1)))</f>
        <v/>
      </c>
      <c r="M79" s="46" t="str">
        <f aca="false">IF($A79="","",Fleet!$H$78)</f>
        <v/>
      </c>
      <c r="N79" s="44" t="str">
        <f aca="false">IF(OR($A79="",N(M79)=0),"",L79/M79)</f>
        <v/>
      </c>
      <c r="O79" s="2" t="str">
        <f aca="false">IF(OR($A79="",N(C79)=0),"",IF(AND(I79&lt;0,J79&lt;0,K79&lt;0),"REVIEW: 3 losing months",IF(I79&lt;Assumptions!$B$9,"Below net target",IF(E79&lt;Assumptions!$B$8,"Low utilization","On track"))))</f>
        <v/>
      </c>
    </row>
    <row r="80" customFormat="false" ht="15" hidden="false" customHeight="false" outlineLevel="0" collapsed="false">
      <c r="A80" s="41" t="str">
        <f aca="false">IF(Fleet!A79="","",Fleet!A79)</f>
        <v/>
      </c>
      <c r="B80" s="41" t="str">
        <f aca="false">IF(Fleet!A79="","",Fleet!B79&amp;" "&amp;Fleet!C79)</f>
        <v/>
      </c>
      <c r="C80" s="42" t="str">
        <f aca="false">IF($A80="","",IF(AND(Fleet!$A$79&lt;&gt;"",N(Fleet!$E$79)&lt;=EOMONTH($B$3,0),OR(Fleet!$F$79="",N(Fleet!$F$79)&gt;=$B$3)),1,0))</f>
        <v/>
      </c>
      <c r="D80" s="43" t="str">
        <f aca="false">IF($A80="","",SUMIFS(Trips!$E$5:$E$1004,Trips!$B$5:$B$1004,$A80,Trips!$L$5:$L$1004,$B$3))</f>
        <v/>
      </c>
      <c r="E80" s="44" t="str">
        <f aca="false">IF(OR($A80="",N(C80)=0),"",D80/DAY(EOMONTH($B$3,0)))</f>
        <v/>
      </c>
      <c r="F80" s="45" t="str">
        <f aca="false">IF($A80="","",SUMIFS(Trips!$H$5:$H$1004,Trips!$B$5:$B$1004,$A80,Trips!$L$5:$L$1004,$B$3)+SUMIFS(Trips!$I$5:$I$1004,Trips!$B$5:$B$1004,$A80,Trips!$L$5:$L$1004,$B$3))</f>
        <v/>
      </c>
      <c r="G80" s="45" t="str">
        <f aca="false">IF($A80="","",SUMIFS(Trips!$J$5:$J$1004,Trips!$B$5:$B$1004,$A80,Trips!$L$5:$L$1004,$B$3)+SUMIFS(Expenses!$E$5:$E$1004,Expenses!$B$5:$B$1004,$A80,Expenses!$G$5:$G$1004,$B$3))</f>
        <v/>
      </c>
      <c r="H80" s="45" t="str">
        <f aca="false">IF($A80="","",Fleet!$O$79*C80)</f>
        <v/>
      </c>
      <c r="I80" s="45" t="str">
        <f aca="false">IF($A80="","",F80-G80-H80)</f>
        <v/>
      </c>
      <c r="J80" s="45" t="str">
        <f aca="false">IF($A80="","",(SUMIFS(Trips!$H$5:$H$1004,Trips!$B$5:$B$1004,$A80,Trips!$L$5:$L$1004,EDATE($B$3,-1))+SUMIFS(Trips!$I$5:$I$1004,Trips!$B$5:$B$1004,$A80,Trips!$L$5:$L$1004,EDATE($B$3,-1))-SUMIFS(Trips!$J$5:$J$1004,Trips!$B$5:$B$1004,$A80,Trips!$L$5:$L$1004,EDATE($B$3,-1))-SUMIFS(Expenses!$E$5:$E$1004,Expenses!$B$5:$B$1004,$A80,Expenses!$G$5:$G$1004,EDATE($B$3,-1))-Fleet!$O$79*IF(AND(Fleet!$A$79&lt;&gt;"",N(Fleet!$E$79)&lt;=EOMONTH(EDATE($B$3,-1),0),OR(Fleet!$F$79="",N(Fleet!$F$79)&gt;=EDATE($B$3,-1))),1,0)))</f>
        <v/>
      </c>
      <c r="K80" s="45" t="str">
        <f aca="false">IF($A80="","",(SUMIFS(Trips!$H$5:$H$1004,Trips!$B$5:$B$1004,$A80,Trips!$L$5:$L$1004,EDATE($B$3,-2))+SUMIFS(Trips!$I$5:$I$1004,Trips!$B$5:$B$1004,$A80,Trips!$L$5:$L$1004,EDATE($B$3,-2))-SUMIFS(Trips!$J$5:$J$1004,Trips!$B$5:$B$1004,$A80,Trips!$L$5:$L$1004,EDATE($B$3,-2))-SUMIFS(Expenses!$E$5:$E$1004,Expenses!$B$5:$B$1004,$A80,Expenses!$G$5:$G$1004,EDATE($B$3,-2))-Fleet!$O$79*IF(AND(Fleet!$A$79&lt;&gt;"",N(Fleet!$E$79)&lt;=EOMONTH(EDATE($B$3,-2),0),OR(Fleet!$F$79="",N(Fleet!$F$79)&gt;=EDATE($B$3,-2))),1,0)))</f>
        <v/>
      </c>
      <c r="L80" s="45" t="str">
        <f aca="false">IF($A80="","",SUMIFS(Trips!$M$5:$M$1004,Trips!$B$5:$B$1004,$A80,Trips!$L$5:$L$1004,"&lt;="&amp;$B$3)-SUMIFS(Expenses!$E$5:$E$1004,Expenses!$B$5:$B$1004,$A80,Expenses!$G$5:$G$1004,"&lt;="&amp;$B$3)-Fleet!$O$79*IF(N(Fleet!$E$79)=0,0,MAX(0,(YEAR(IF(Fleet!$F$79="",EOMONTH($B$3,0),MIN(Fleet!$F$79,EOMONTH($B$3,0))))-YEAR(Fleet!$E$79))*12+MONTH(IF(Fleet!$F$79="",EOMONTH($B$3,0),MIN(Fleet!$F$79,EOMONTH($B$3,0))))-MONTH(Fleet!$E$79)+1)))</f>
        <v/>
      </c>
      <c r="M80" s="46" t="str">
        <f aca="false">IF($A80="","",Fleet!$H$79)</f>
        <v/>
      </c>
      <c r="N80" s="44" t="str">
        <f aca="false">IF(OR($A80="",N(M80)=0),"",L80/M80)</f>
        <v/>
      </c>
      <c r="O80" s="2" t="str">
        <f aca="false">IF(OR($A80="",N(C80)=0),"",IF(AND(I80&lt;0,J80&lt;0,K80&lt;0),"REVIEW: 3 losing months",IF(I80&lt;Assumptions!$B$9,"Below net target",IF(E80&lt;Assumptions!$B$8,"Low utilization","On track"))))</f>
        <v/>
      </c>
    </row>
  </sheetData>
  <conditionalFormatting sqref="O6:O80">
    <cfRule type="expression" priority="2" aboveAverage="0" equalAverage="0" bottom="0" percent="0" rank="0" text="" dxfId="1">
      <formula>LEFT(O6,6)="REVIEW"</formula>
    </cfRule>
    <cfRule type="expression" priority="3" aboveAverage="0" equalAverage="0" bottom="0" percent="0" rank="0" text="" dxfId="2">
      <formula>O6="On track"</formula>
    </cfRule>
    <cfRule type="expression" priority="4" aboveAverage="0" equalAverage="0" bottom="0" percent="0" rank="0" text="" dxfId="3">
      <formula>OR(O6="Below net target",O6="Low utilization")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6" min="3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1.5" hidden="false" customHeight="true" outlineLevel="0" collapsed="false">
      <c r="A4" s="13" t="s">
        <v>155</v>
      </c>
      <c r="B4" s="13" t="s">
        <v>156</v>
      </c>
      <c r="C4" s="13" t="s">
        <v>150</v>
      </c>
      <c r="D4" s="13" t="s">
        <v>101</v>
      </c>
      <c r="E4" s="13" t="s">
        <v>157</v>
      </c>
      <c r="F4" s="13" t="s">
        <v>158</v>
      </c>
      <c r="G4" s="13" t="s">
        <v>29</v>
      </c>
      <c r="H4" s="13" t="s">
        <v>159</v>
      </c>
      <c r="I4" s="13" t="s">
        <v>160</v>
      </c>
      <c r="J4" s="13" t="s">
        <v>161</v>
      </c>
      <c r="K4" s="13" t="s">
        <v>162</v>
      </c>
      <c r="L4" s="13" t="s">
        <v>163</v>
      </c>
      <c r="M4" s="13" t="s">
        <v>164</v>
      </c>
      <c r="N4" s="13" t="s">
        <v>165</v>
      </c>
      <c r="O4" s="13" t="s">
        <v>166</v>
      </c>
      <c r="P4" s="13" t="s">
        <v>167</v>
      </c>
      <c r="Q4" s="13" t="s">
        <v>168</v>
      </c>
    </row>
    <row r="5" customFormat="false" ht="15" hidden="false" customHeight="false" outlineLevel="0" collapsed="false">
      <c r="A5" s="29" t="s">
        <v>169</v>
      </c>
      <c r="B5" s="32" t="n">
        <v>18000</v>
      </c>
      <c r="C5" s="32" t="n">
        <v>3600</v>
      </c>
      <c r="D5" s="32" t="n">
        <v>290</v>
      </c>
      <c r="E5" s="32" t="n">
        <v>62</v>
      </c>
      <c r="F5" s="47" t="n">
        <v>19</v>
      </c>
      <c r="G5" s="33" t="n">
        <v>0.8</v>
      </c>
      <c r="H5" s="37" t="n">
        <v>3.5</v>
      </c>
      <c r="I5" s="32" t="n">
        <v>30</v>
      </c>
      <c r="J5" s="32" t="n">
        <v>75</v>
      </c>
      <c r="K5" s="32" t="n">
        <v>120</v>
      </c>
      <c r="L5" s="45" t="n">
        <f aca="false">IF($A5="","",E5*F5*G5)</f>
        <v>942.4</v>
      </c>
      <c r="M5" s="45" t="n">
        <f aca="false">IF($A5="","",IF(N(H5)=0,0,F5/H5*I5))</f>
        <v>162.857142857143</v>
      </c>
      <c r="N5" s="45" t="n">
        <f aca="false">IF($A5="","",L5-M5-J5-K5)</f>
        <v>584.542857142857</v>
      </c>
      <c r="O5" s="45" t="n">
        <f aca="false">IF($A5="","",N5-D5)</f>
        <v>294.542857142857</v>
      </c>
      <c r="P5" s="48" t="n">
        <f aca="false">IF($A5="","",IF(N5&lt;=0,"never",B5/N5))</f>
        <v>30.7932939048829</v>
      </c>
      <c r="Q5" s="2" t="str">
        <f aca="false">IF($A5="","",IF(AND(ISNUMBER(P5),P5&lt;=Assumptions!$B$10,O5&gt;=Assumptions!$B$9),"BUY","PASS"))</f>
        <v>PASS</v>
      </c>
    </row>
    <row r="6" customFormat="false" ht="15" hidden="false" customHeight="false" outlineLevel="0" collapsed="false">
      <c r="A6" s="29" t="s">
        <v>170</v>
      </c>
      <c r="B6" s="32" t="n">
        <v>24000</v>
      </c>
      <c r="C6" s="32" t="n">
        <v>6000</v>
      </c>
      <c r="D6" s="32" t="n">
        <v>330</v>
      </c>
      <c r="E6" s="32" t="n">
        <v>78</v>
      </c>
      <c r="F6" s="47" t="n">
        <v>20</v>
      </c>
      <c r="G6" s="33" t="n">
        <v>0.8</v>
      </c>
      <c r="H6" s="37" t="n">
        <v>4</v>
      </c>
      <c r="I6" s="32" t="n">
        <v>30</v>
      </c>
      <c r="J6" s="32" t="n">
        <v>80</v>
      </c>
      <c r="K6" s="32" t="n">
        <v>130</v>
      </c>
      <c r="L6" s="45" t="n">
        <f aca="false">IF($A6="","",E6*F6*G6)</f>
        <v>1248</v>
      </c>
      <c r="M6" s="45" t="n">
        <f aca="false">IF($A6="","",IF(N(H6)=0,0,F6/H6*I6))</f>
        <v>150</v>
      </c>
      <c r="N6" s="45" t="n">
        <f aca="false">IF($A6="","",L6-M6-J6-K6)</f>
        <v>888</v>
      </c>
      <c r="O6" s="45" t="n">
        <f aca="false">IF($A6="","",N6-D6)</f>
        <v>558</v>
      </c>
      <c r="P6" s="48" t="n">
        <f aca="false">IF($A6="","",IF(N6&lt;=0,"never",B6/N6))</f>
        <v>27.027027027027</v>
      </c>
      <c r="Q6" s="2" t="str">
        <f aca="false">IF($A6="","",IF(AND(ISNUMBER(P6),P6&lt;=Assumptions!$B$10,O6&gt;=Assumptions!$B$9),"BUY","PASS"))</f>
        <v>BUY</v>
      </c>
    </row>
    <row r="7" customFormat="false" ht="15" hidden="false" customHeight="false" outlineLevel="0" collapsed="false">
      <c r="A7" s="29"/>
      <c r="B7" s="32"/>
      <c r="C7" s="32"/>
      <c r="D7" s="32"/>
      <c r="E7" s="32"/>
      <c r="F7" s="47"/>
      <c r="G7" s="33"/>
      <c r="H7" s="37"/>
      <c r="I7" s="32"/>
      <c r="J7" s="32"/>
      <c r="K7" s="32"/>
      <c r="L7" s="45" t="str">
        <f aca="false">IF($A7="","",E7*F7*G7)</f>
        <v/>
      </c>
      <c r="M7" s="45" t="str">
        <f aca="false">IF($A7="","",IF(N(H7)=0,0,F7/H7*I7))</f>
        <v/>
      </c>
      <c r="N7" s="45" t="str">
        <f aca="false">IF($A7="","",L7-M7-J7-K7)</f>
        <v/>
      </c>
      <c r="O7" s="45" t="str">
        <f aca="false">IF($A7="","",N7-D7)</f>
        <v/>
      </c>
      <c r="P7" s="48" t="str">
        <f aca="false">IF($A7="","",IF(N7&lt;=0,"never",B7/N7))</f>
        <v/>
      </c>
      <c r="Q7" s="2" t="str">
        <f aca="false">IF($A7="","",IF(AND(ISNUMBER(P7),P7&lt;=Assumptions!$B$10,O7&gt;=Assumptions!$B$9),"BUY","PASS"))</f>
        <v/>
      </c>
    </row>
    <row r="8" customFormat="false" ht="15" hidden="false" customHeight="false" outlineLevel="0" collapsed="false">
      <c r="A8" s="29"/>
      <c r="B8" s="32"/>
      <c r="C8" s="32"/>
      <c r="D8" s="32"/>
      <c r="E8" s="32"/>
      <c r="F8" s="47"/>
      <c r="G8" s="33"/>
      <c r="H8" s="37"/>
      <c r="I8" s="32"/>
      <c r="J8" s="32"/>
      <c r="K8" s="32"/>
      <c r="L8" s="45" t="str">
        <f aca="false">IF($A8="","",E8*F8*G8)</f>
        <v/>
      </c>
      <c r="M8" s="45" t="str">
        <f aca="false">IF($A8="","",IF(N(H8)=0,0,F8/H8*I8))</f>
        <v/>
      </c>
      <c r="N8" s="45" t="str">
        <f aca="false">IF($A8="","",L8-M8-J8-K8)</f>
        <v/>
      </c>
      <c r="O8" s="45" t="str">
        <f aca="false">IF($A8="","",N8-D8)</f>
        <v/>
      </c>
      <c r="P8" s="48" t="str">
        <f aca="false">IF($A8="","",IF(N8&lt;=0,"never",B8/N8))</f>
        <v/>
      </c>
      <c r="Q8" s="2" t="str">
        <f aca="false">IF($A8="","",IF(AND(ISNUMBER(P8),P8&lt;=Assumptions!$B$10,O8&gt;=Assumptions!$B$9),"BUY","PASS"))</f>
        <v/>
      </c>
    </row>
    <row r="9" customFormat="false" ht="15" hidden="false" customHeight="false" outlineLevel="0" collapsed="false">
      <c r="A9" s="29"/>
      <c r="B9" s="32"/>
      <c r="C9" s="32"/>
      <c r="D9" s="32"/>
      <c r="E9" s="32"/>
      <c r="F9" s="47"/>
      <c r="G9" s="33"/>
      <c r="H9" s="37"/>
      <c r="I9" s="32"/>
      <c r="J9" s="32"/>
      <c r="K9" s="32"/>
      <c r="L9" s="45" t="str">
        <f aca="false">IF($A9="","",E9*F9*G9)</f>
        <v/>
      </c>
      <c r="M9" s="45" t="str">
        <f aca="false">IF($A9="","",IF(N(H9)=0,0,F9/H9*I9))</f>
        <v/>
      </c>
      <c r="N9" s="45" t="str">
        <f aca="false">IF($A9="","",L9-M9-J9-K9)</f>
        <v/>
      </c>
      <c r="O9" s="45" t="str">
        <f aca="false">IF($A9="","",N9-D9)</f>
        <v/>
      </c>
      <c r="P9" s="48" t="str">
        <f aca="false">IF($A9="","",IF(N9&lt;=0,"never",B9/N9))</f>
        <v/>
      </c>
      <c r="Q9" s="2" t="str">
        <f aca="false">IF($A9="","",IF(AND(ISNUMBER(P9),P9&lt;=Assumptions!$B$10,O9&gt;=Assumptions!$B$9),"BUY","PASS"))</f>
        <v/>
      </c>
    </row>
    <row r="10" customFormat="false" ht="15" hidden="false" customHeight="false" outlineLevel="0" collapsed="false">
      <c r="A10" s="29"/>
      <c r="B10" s="32"/>
      <c r="C10" s="32"/>
      <c r="D10" s="32"/>
      <c r="E10" s="32"/>
      <c r="F10" s="47"/>
      <c r="G10" s="33"/>
      <c r="H10" s="37"/>
      <c r="I10" s="32"/>
      <c r="J10" s="32"/>
      <c r="K10" s="32"/>
      <c r="L10" s="45" t="str">
        <f aca="false">IF($A10="","",E10*F10*G10)</f>
        <v/>
      </c>
      <c r="M10" s="45" t="str">
        <f aca="false">IF($A10="","",IF(N(H10)=0,0,F10/H10*I10))</f>
        <v/>
      </c>
      <c r="N10" s="45" t="str">
        <f aca="false">IF($A10="","",L10-M10-J10-K10)</f>
        <v/>
      </c>
      <c r="O10" s="45" t="str">
        <f aca="false">IF($A10="","",N10-D10)</f>
        <v/>
      </c>
      <c r="P10" s="48" t="str">
        <f aca="false">IF($A10="","",IF(N10&lt;=0,"never",B10/N10))</f>
        <v/>
      </c>
      <c r="Q10" s="2" t="str">
        <f aca="false">IF($A10="","",IF(AND(ISNUMBER(P10),P10&lt;=Assumptions!$B$10,O10&gt;=Assumptions!$B$9),"BUY","PASS"))</f>
        <v/>
      </c>
    </row>
    <row r="11" customFormat="false" ht="15" hidden="false" customHeight="false" outlineLevel="0" collapsed="false">
      <c r="A11" s="29"/>
      <c r="B11" s="32"/>
      <c r="C11" s="32"/>
      <c r="D11" s="32"/>
      <c r="E11" s="32"/>
      <c r="F11" s="47"/>
      <c r="G11" s="33"/>
      <c r="H11" s="37"/>
      <c r="I11" s="32"/>
      <c r="J11" s="32"/>
      <c r="K11" s="32"/>
      <c r="L11" s="45" t="str">
        <f aca="false">IF($A11="","",E11*F11*G11)</f>
        <v/>
      </c>
      <c r="M11" s="45" t="str">
        <f aca="false">IF($A11="","",IF(N(H11)=0,0,F11/H11*I11))</f>
        <v/>
      </c>
      <c r="N11" s="45" t="str">
        <f aca="false">IF($A11="","",L11-M11-J11-K11)</f>
        <v/>
      </c>
      <c r="O11" s="45" t="str">
        <f aca="false">IF($A11="","",N11-D11)</f>
        <v/>
      </c>
      <c r="P11" s="48" t="str">
        <f aca="false">IF($A11="","",IF(N11&lt;=0,"never",B11/N11))</f>
        <v/>
      </c>
      <c r="Q11" s="2" t="str">
        <f aca="false">IF($A11="","",IF(AND(ISNUMBER(P11),P11&lt;=Assumptions!$B$10,O11&gt;=Assumptions!$B$9),"BUY","PASS"))</f>
        <v/>
      </c>
    </row>
    <row r="12" customFormat="false" ht="15" hidden="false" customHeight="false" outlineLevel="0" collapsed="false">
      <c r="A12" s="29"/>
      <c r="B12" s="32"/>
      <c r="C12" s="32"/>
      <c r="D12" s="32"/>
      <c r="E12" s="32"/>
      <c r="F12" s="47"/>
      <c r="G12" s="33"/>
      <c r="H12" s="37"/>
      <c r="I12" s="32"/>
      <c r="J12" s="32"/>
      <c r="K12" s="32"/>
      <c r="L12" s="45" t="str">
        <f aca="false">IF($A12="","",E12*F12*G12)</f>
        <v/>
      </c>
      <c r="M12" s="45" t="str">
        <f aca="false">IF($A12="","",IF(N(H12)=0,0,F12/H12*I12))</f>
        <v/>
      </c>
      <c r="N12" s="45" t="str">
        <f aca="false">IF($A12="","",L12-M12-J12-K12)</f>
        <v/>
      </c>
      <c r="O12" s="45" t="str">
        <f aca="false">IF($A12="","",N12-D12)</f>
        <v/>
      </c>
      <c r="P12" s="48" t="str">
        <f aca="false">IF($A12="","",IF(N12&lt;=0,"never",B12/N12))</f>
        <v/>
      </c>
      <c r="Q12" s="2" t="str">
        <f aca="false">IF($A12="","",IF(AND(ISNUMBER(P12),P12&lt;=Assumptions!$B$10,O12&gt;=Assumptions!$B$9),"BUY","PASS"))</f>
        <v/>
      </c>
    </row>
    <row r="13" customFormat="false" ht="15" hidden="false" customHeight="false" outlineLevel="0" collapsed="false">
      <c r="A13" s="29"/>
      <c r="B13" s="32"/>
      <c r="C13" s="32"/>
      <c r="D13" s="32"/>
      <c r="E13" s="32"/>
      <c r="F13" s="47"/>
      <c r="G13" s="33"/>
      <c r="H13" s="37"/>
      <c r="I13" s="32"/>
      <c r="J13" s="32"/>
      <c r="K13" s="32"/>
      <c r="L13" s="45" t="str">
        <f aca="false">IF($A13="","",E13*F13*G13)</f>
        <v/>
      </c>
      <c r="M13" s="45" t="str">
        <f aca="false">IF($A13="","",IF(N(H13)=0,0,F13/H13*I13))</f>
        <v/>
      </c>
      <c r="N13" s="45" t="str">
        <f aca="false">IF($A13="","",L13-M13-J13-K13)</f>
        <v/>
      </c>
      <c r="O13" s="45" t="str">
        <f aca="false">IF($A13="","",N13-D13)</f>
        <v/>
      </c>
      <c r="P13" s="48" t="str">
        <f aca="false">IF($A13="","",IF(N13&lt;=0,"never",B13/N13))</f>
        <v/>
      </c>
      <c r="Q13" s="2" t="str">
        <f aca="false">IF($A13="","",IF(AND(ISNUMBER(P13),P13&lt;=Assumptions!$B$10,O13&gt;=Assumptions!$B$9),"BUY","PASS"))</f>
        <v/>
      </c>
    </row>
    <row r="14" customFormat="false" ht="15" hidden="false" customHeight="false" outlineLevel="0" collapsed="false">
      <c r="A14" s="29"/>
      <c r="B14" s="32"/>
      <c r="C14" s="32"/>
      <c r="D14" s="32"/>
      <c r="E14" s="32"/>
      <c r="F14" s="47"/>
      <c r="G14" s="33"/>
      <c r="H14" s="37"/>
      <c r="I14" s="32"/>
      <c r="J14" s="32"/>
      <c r="K14" s="32"/>
      <c r="L14" s="45" t="str">
        <f aca="false">IF($A14="","",E14*F14*G14)</f>
        <v/>
      </c>
      <c r="M14" s="45" t="str">
        <f aca="false">IF($A14="","",IF(N(H14)=0,0,F14/H14*I14))</f>
        <v/>
      </c>
      <c r="N14" s="45" t="str">
        <f aca="false">IF($A14="","",L14-M14-J14-K14)</f>
        <v/>
      </c>
      <c r="O14" s="45" t="str">
        <f aca="false">IF($A14="","",N14-D14)</f>
        <v/>
      </c>
      <c r="P14" s="48" t="str">
        <f aca="false">IF($A14="","",IF(N14&lt;=0,"never",B14/N14))</f>
        <v/>
      </c>
      <c r="Q14" s="2" t="str">
        <f aca="false">IF($A14="","",IF(AND(ISNUMBER(P14),P14&lt;=Assumptions!$B$10,O14&gt;=Assumptions!$B$9),"BUY","PASS"))</f>
        <v/>
      </c>
    </row>
    <row r="15" customFormat="false" ht="15" hidden="false" customHeight="false" outlineLevel="0" collapsed="false">
      <c r="A15" s="29"/>
      <c r="B15" s="32"/>
      <c r="C15" s="32"/>
      <c r="D15" s="32"/>
      <c r="E15" s="32"/>
      <c r="F15" s="47"/>
      <c r="G15" s="33"/>
      <c r="H15" s="37"/>
      <c r="I15" s="32"/>
      <c r="J15" s="32"/>
      <c r="K15" s="32"/>
      <c r="L15" s="45" t="str">
        <f aca="false">IF($A15="","",E15*F15*G15)</f>
        <v/>
      </c>
      <c r="M15" s="45" t="str">
        <f aca="false">IF($A15="","",IF(N(H15)=0,0,F15/H15*I15))</f>
        <v/>
      </c>
      <c r="N15" s="45" t="str">
        <f aca="false">IF($A15="","",L15-M15-J15-K15)</f>
        <v/>
      </c>
      <c r="O15" s="45" t="str">
        <f aca="false">IF($A15="","",N15-D15)</f>
        <v/>
      </c>
      <c r="P15" s="48" t="str">
        <f aca="false">IF($A15="","",IF(N15&lt;=0,"never",B15/N15))</f>
        <v/>
      </c>
      <c r="Q15" s="2" t="str">
        <f aca="false">IF($A15="","",IF(AND(ISNUMBER(P15),P15&lt;=Assumptions!$B$10,O15&gt;=Assumptions!$B$9),"BUY","PASS"))</f>
        <v/>
      </c>
    </row>
    <row r="16" customFormat="false" ht="15" hidden="false" customHeight="false" outlineLevel="0" collapsed="false">
      <c r="A16" s="29"/>
      <c r="B16" s="32"/>
      <c r="C16" s="32"/>
      <c r="D16" s="32"/>
      <c r="E16" s="32"/>
      <c r="F16" s="47"/>
      <c r="G16" s="33"/>
      <c r="H16" s="37"/>
      <c r="I16" s="32"/>
      <c r="J16" s="32"/>
      <c r="K16" s="32"/>
      <c r="L16" s="45" t="str">
        <f aca="false">IF($A16="","",E16*F16*G16)</f>
        <v/>
      </c>
      <c r="M16" s="45" t="str">
        <f aca="false">IF($A16="","",IF(N(H16)=0,0,F16/H16*I16))</f>
        <v/>
      </c>
      <c r="N16" s="45" t="str">
        <f aca="false">IF($A16="","",L16-M16-J16-K16)</f>
        <v/>
      </c>
      <c r="O16" s="45" t="str">
        <f aca="false">IF($A16="","",N16-D16)</f>
        <v/>
      </c>
      <c r="P16" s="48" t="str">
        <f aca="false">IF($A16="","",IF(N16&lt;=0,"never",B16/N16))</f>
        <v/>
      </c>
      <c r="Q16" s="2" t="str">
        <f aca="false">IF($A16="","",IF(AND(ISNUMBER(P16),P16&lt;=Assumptions!$B$10,O16&gt;=Assumptions!$B$9),"BUY","PASS"))</f>
        <v/>
      </c>
    </row>
    <row r="17" customFormat="false" ht="15" hidden="false" customHeight="false" outlineLevel="0" collapsed="false">
      <c r="A17" s="29"/>
      <c r="B17" s="32"/>
      <c r="C17" s="32"/>
      <c r="D17" s="32"/>
      <c r="E17" s="32"/>
      <c r="F17" s="47"/>
      <c r="G17" s="33"/>
      <c r="H17" s="37"/>
      <c r="I17" s="32"/>
      <c r="J17" s="32"/>
      <c r="K17" s="32"/>
      <c r="L17" s="45" t="str">
        <f aca="false">IF($A17="","",E17*F17*G17)</f>
        <v/>
      </c>
      <c r="M17" s="45" t="str">
        <f aca="false">IF($A17="","",IF(N(H17)=0,0,F17/H17*I17))</f>
        <v/>
      </c>
      <c r="N17" s="45" t="str">
        <f aca="false">IF($A17="","",L17-M17-J17-K17)</f>
        <v/>
      </c>
      <c r="O17" s="45" t="str">
        <f aca="false">IF($A17="","",N17-D17)</f>
        <v/>
      </c>
      <c r="P17" s="48" t="str">
        <f aca="false">IF($A17="","",IF(N17&lt;=0,"never",B17/N17))</f>
        <v/>
      </c>
      <c r="Q17" s="2" t="str">
        <f aca="false">IF($A17="","",IF(AND(ISNUMBER(P17),P17&lt;=Assumptions!$B$10,O17&gt;=Assumptions!$B$9),"BUY","PASS"))</f>
        <v/>
      </c>
    </row>
    <row r="18" customFormat="false" ht="15" hidden="false" customHeight="false" outlineLevel="0" collapsed="false">
      <c r="A18" s="29"/>
      <c r="B18" s="32"/>
      <c r="C18" s="32"/>
      <c r="D18" s="32"/>
      <c r="E18" s="32"/>
      <c r="F18" s="47"/>
      <c r="G18" s="33"/>
      <c r="H18" s="37"/>
      <c r="I18" s="32"/>
      <c r="J18" s="32"/>
      <c r="K18" s="32"/>
      <c r="L18" s="45" t="str">
        <f aca="false">IF($A18="","",E18*F18*G18)</f>
        <v/>
      </c>
      <c r="M18" s="45" t="str">
        <f aca="false">IF($A18="","",IF(N(H18)=0,0,F18/H18*I18))</f>
        <v/>
      </c>
      <c r="N18" s="45" t="str">
        <f aca="false">IF($A18="","",L18-M18-J18-K18)</f>
        <v/>
      </c>
      <c r="O18" s="45" t="str">
        <f aca="false">IF($A18="","",N18-D18)</f>
        <v/>
      </c>
      <c r="P18" s="48" t="str">
        <f aca="false">IF($A18="","",IF(N18&lt;=0,"never",B18/N18))</f>
        <v/>
      </c>
      <c r="Q18" s="2" t="str">
        <f aca="false">IF($A18="","",IF(AND(ISNUMBER(P18),P18&lt;=Assumptions!$B$10,O18&gt;=Assumptions!$B$9),"BUY","PASS"))</f>
        <v/>
      </c>
    </row>
    <row r="19" customFormat="false" ht="15" hidden="false" customHeight="false" outlineLevel="0" collapsed="false">
      <c r="A19" s="29"/>
      <c r="B19" s="32"/>
      <c r="C19" s="32"/>
      <c r="D19" s="32"/>
      <c r="E19" s="32"/>
      <c r="F19" s="47"/>
      <c r="G19" s="33"/>
      <c r="H19" s="37"/>
      <c r="I19" s="32"/>
      <c r="J19" s="32"/>
      <c r="K19" s="32"/>
      <c r="L19" s="45" t="str">
        <f aca="false">IF($A19="","",E19*F19*G19)</f>
        <v/>
      </c>
      <c r="M19" s="45" t="str">
        <f aca="false">IF($A19="","",IF(N(H19)=0,0,F19/H19*I19))</f>
        <v/>
      </c>
      <c r="N19" s="45" t="str">
        <f aca="false">IF($A19="","",L19-M19-J19-K19)</f>
        <v/>
      </c>
      <c r="O19" s="45" t="str">
        <f aca="false">IF($A19="","",N19-D19)</f>
        <v/>
      </c>
      <c r="P19" s="48" t="str">
        <f aca="false">IF($A19="","",IF(N19&lt;=0,"never",B19/N19))</f>
        <v/>
      </c>
      <c r="Q19" s="2" t="str">
        <f aca="false">IF($A19="","",IF(AND(ISNUMBER(P19),P19&lt;=Assumptions!$B$10,O19&gt;=Assumptions!$B$9),"BUY","PASS"))</f>
        <v/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3" t="s">
        <v>171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conditionalFormatting sqref="Q5:Q19">
    <cfRule type="expression" priority="2" aboveAverage="0" equalAverage="0" bottom="0" percent="0" rank="0" text="" dxfId="4">
      <formula>Q5="BUY"</formula>
    </cfRule>
    <cfRule type="expression" priority="3" aboveAverage="0" equalAverage="0" bottom="0" percent="0" rank="0" text="" dxfId="5">
      <formula>Q5="PASS"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2026-10-18T05:29:53Z</dcterms:created>
  <dc:creator>openpyxl</dc:creator>
  <dc:description/>
  <dc:language>en-US</dc:language>
  <cp:lastModifiedBy/>
  <dcterms:modified xsi:type="dcterms:W3CDTF">2026-10-18T05:29:55Z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